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\personal_gsujit\github_jisujit_tektekgo\rentavacation\docs\testing\"/>
    </mc:Choice>
  </mc:AlternateContent>
  <xr:revisionPtr revIDLastSave="0" documentId="13_ncr:1_{01B7977C-18B4-4C3D-B1DA-59875BEE647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ashboard" sheetId="1" r:id="rId1"/>
    <sheet name="Run Log" sheetId="2" r:id="rId2"/>
    <sheet name="Summary" sheetId="3" r:id="rId3"/>
    <sheet name="S-01 New User Onboarding &amp; Appr" sheetId="4" r:id="rId4"/>
    <sheet name="S-02 Owner Role Upgrade &amp; Verif" sheetId="5" r:id="rId5"/>
    <sheet name="S-03 Property Listing Creation " sheetId="6" r:id="rId6"/>
    <sheet name="S-04 Direct Booking — Happy Pat" sheetId="7" r:id="rId7"/>
    <sheet name="S-05 Bidding &amp; Counter-Offer Wo" sheetId="8" r:id="rId8"/>
    <sheet name="S-06 Travel Request &amp; Owner Pro" sheetId="9" r:id="rId9"/>
    <sheet name="S-07 Pre-Booking Inquiry &amp; Mess" sheetId="10" r:id="rId10"/>
    <sheet name="S-08 Booking Messaging &amp; Realti" sheetId="11" r:id="rId11"/>
    <sheet name="S-09 Renter Cancellation Flow" sheetId="12" r:id="rId12"/>
    <sheet name="S-10 Owner Cancellation Flow" sheetId="13" r:id="rId13"/>
    <sheet name="S-11 Dispute Resolution — Check" sheetId="14" r:id="rId14"/>
    <sheet name="S-12 Owner Earnings &amp; Payout Cy" sheetId="15" r:id="rId15"/>
    <sheet name="S-13 Membership Upgrade — Owner" sheetId="16" r:id="rId16"/>
    <sheet name="S-14 Membership Upgrade — Rente" sheetId="17" r:id="rId17"/>
    <sheet name="S-15 Referral Program End-to-En" sheetId="18" r:id="rId18"/>
    <sheet name="S-16 Search, Filter &amp; Discovery" sheetId="19" r:id="rId19"/>
    <sheet name="S-17 Notification Delivery &amp; Pr" sheetId="20" r:id="rId20"/>
    <sheet name="S-18 Admin — Full Operations Cy" sheetId="21" r:id="rId21"/>
    <sheet name="S-19 Stripe Payment Edge Cases" sheetId="22" r:id="rId22"/>
    <sheet name="S-20 Public Pages &amp; Unauthentic" sheetId="23" r:id="rId23"/>
    <sheet name="S-21 Owner Multi-Listing Manage" sheetId="24" r:id="rId24"/>
    <sheet name="S-22 RAV Smart Tools Suite" sheetId="25" r:id="rId25"/>
    <sheet name="S-23 Date Proposal &amp; Flexible B" sheetId="26" r:id="rId26"/>
    <sheet name="S-24 Admin Property &amp; Listing E" sheetId="27" r:id="rId27"/>
    <sheet name="S-25 Executive Dashboard &amp; Anal" sheetId="28" r:id="rId28"/>
    <sheet name="S-26 Voice Search &amp; Quota Manag" sheetId="29" r:id="rId29"/>
    <sheet name="S-27 API Key &amp; Developer Portal" sheetId="30" r:id="rId30"/>
    <sheet name="S-28 iCal Export &amp; Calendar Int" sheetId="31" r:id="rId31"/>
    <sheet name="S-29 GDPR Data Export &amp; Deletio" sheetId="32" r:id="rId32"/>
    <sheet name="S-30 Complete Marketplace Cycle" sheetId="33" r:id="rId33"/>
    <sheet name="Reference" sheetId="34" r:id="rId34"/>
    <sheet name="Coverage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3" l="1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B84" i="1" s="1"/>
  <c r="R11" i="3"/>
  <c r="R10" i="3"/>
  <c r="R9" i="3"/>
  <c r="E33" i="3" s="1"/>
  <c r="R8" i="3"/>
  <c r="R7" i="3"/>
  <c r="R6" i="3"/>
  <c r="R5" i="3"/>
  <c r="R4" i="3"/>
  <c r="R3" i="3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B104" i="1"/>
  <c r="B103" i="1"/>
  <c r="B102" i="1"/>
  <c r="B101" i="1"/>
  <c r="B100" i="1"/>
  <c r="B99" i="1"/>
  <c r="B98" i="1"/>
  <c r="B97" i="1"/>
  <c r="B96" i="1"/>
  <c r="B85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F41" i="1"/>
  <c r="E41" i="1"/>
  <c r="G41" i="1" s="1"/>
  <c r="H41" i="1" s="1"/>
  <c r="D41" i="1"/>
  <c r="G40" i="1"/>
  <c r="H40" i="1" s="1"/>
  <c r="F40" i="1"/>
  <c r="E40" i="1"/>
  <c r="D40" i="1"/>
  <c r="F39" i="1"/>
  <c r="E39" i="1"/>
  <c r="D39" i="1"/>
  <c r="G39" i="1" s="1"/>
  <c r="H39" i="1" s="1"/>
  <c r="F38" i="1"/>
  <c r="E38" i="1"/>
  <c r="D38" i="1"/>
  <c r="G38" i="1" s="1"/>
  <c r="H38" i="1" s="1"/>
  <c r="F37" i="1"/>
  <c r="E37" i="1"/>
  <c r="D37" i="1"/>
  <c r="G37" i="1" s="1"/>
  <c r="H37" i="1" s="1"/>
  <c r="G36" i="1"/>
  <c r="H36" i="1" s="1"/>
  <c r="F36" i="1"/>
  <c r="E36" i="1"/>
  <c r="D36" i="1"/>
  <c r="G35" i="1"/>
  <c r="H35" i="1" s="1"/>
  <c r="F35" i="1"/>
  <c r="E59" i="1" s="1"/>
  <c r="E35" i="1"/>
  <c r="D59" i="1" s="1"/>
  <c r="D35" i="1"/>
  <c r="C59" i="1" s="1"/>
  <c r="H12" i="1"/>
  <c r="F12" i="1"/>
  <c r="B8" i="1"/>
  <c r="B12" i="1" l="1"/>
  <c r="C54" i="1"/>
  <c r="B33" i="3"/>
  <c r="C33" i="3"/>
  <c r="D33" i="3"/>
  <c r="H8" i="1" l="1"/>
  <c r="C53" i="1"/>
  <c r="F8" i="1"/>
  <c r="C52" i="1"/>
  <c r="D8" i="1"/>
  <c r="C55" i="1"/>
  <c r="C51" i="1"/>
  <c r="D12" i="1"/>
</calcChain>
</file>

<file path=xl/sharedStrings.xml><?xml version="1.0" encoding="utf-8"?>
<sst xmlns="http://schemas.openxmlformats.org/spreadsheetml/2006/main" count="2393" uniqueCount="976">
  <si>
    <t>RENT-A-VACATION</t>
  </si>
  <si>
    <t>QA Scenario Test Dashboard</t>
  </si>
  <si>
    <t>Generated: April 06, 2026</t>
  </si>
  <si>
    <t>LATEST RUN SUMMARY</t>
  </si>
  <si>
    <t>Total Scenarios</t>
  </si>
  <si>
    <t>Passed</t>
  </si>
  <si>
    <t>Failed</t>
  </si>
  <si>
    <t>Blocked</t>
  </si>
  <si>
    <t>Skipped</t>
  </si>
  <si>
    <t>Pass Rate</t>
  </si>
  <si>
    <t>Execution Coverage</t>
  </si>
  <si>
    <t>Total Steps</t>
  </si>
  <si>
    <t>STATUS DISTRIBUTION &amp; TREND</t>
  </si>
  <si>
    <t>RESULTS BY TIER</t>
  </si>
  <si>
    <t>Tier</t>
  </si>
  <si>
    <t>Scenarios</t>
  </si>
  <si>
    <t>Progress</t>
  </si>
  <si>
    <t>Foundation</t>
  </si>
  <si>
    <t>Core Marketplace</t>
  </si>
  <si>
    <t>Communication</t>
  </si>
  <si>
    <t>Business Ops</t>
  </si>
  <si>
    <t>Admin &amp; Platform</t>
  </si>
  <si>
    <t>Edge Cases</t>
  </si>
  <si>
    <t>Master Validation</t>
  </si>
  <si>
    <t>Status</t>
  </si>
  <si>
    <t>Count</t>
  </si>
  <si>
    <t>Not Run</t>
  </si>
  <si>
    <t>SCENARIO HEALTH MAP</t>
  </si>
  <si>
    <t>DEFECT TRACKER</t>
  </si>
  <si>
    <t>#</t>
  </si>
  <si>
    <t>Scenario</t>
  </si>
  <si>
    <t>Step</t>
  </si>
  <si>
    <t>Severity</t>
  </si>
  <si>
    <t>GitHub Issue</t>
  </si>
  <si>
    <t>Found Date</t>
  </si>
  <si>
    <t>Resolved Date</t>
  </si>
  <si>
    <t>Notes</t>
  </si>
  <si>
    <t>HOW TO USE THIS WORKBOOK</t>
  </si>
  <si>
    <t>1. Before testing: Go to Run Log and create a new row (date, tester, environment).</t>
  </si>
  <si>
    <t>2. Go to Summary sheet and fill PASS/FAIL/BLOCKED/SKIP per scenario in the next Run column.</t>
  </si>
  <si>
    <t>3. For step-level tracking: open individual scenario sheets (S-01, S-02, etc.).</t>
  </si>
  <si>
    <t>4. Dropdowns: PASS/FAIL/BLOCKED/SKIP for scenarios; ✅/❌/⏭/⚠ for steps.</t>
  </si>
  <si>
    <t>5. Dashboard KPIs, charts, and heatmap auto-update from Summary formulas.</t>
  </si>
  <si>
    <t>6. Reference sheet has all test accounts, passwords, and Stripe test cards.</t>
  </si>
  <si>
    <t>7. Log defects in the Defect Tracker above — link to GitHub Issues.</t>
  </si>
  <si>
    <t>8. Reseed DEV data before each full regression run for clean state.</t>
  </si>
  <si>
    <t>9. Coverage sheet maps features to scenarios — update 'Last Tested' after runs.</t>
  </si>
  <si>
    <t>Test Run Log</t>
  </si>
  <si>
    <t>Run #</t>
  </si>
  <si>
    <t>Date</t>
  </si>
  <si>
    <t>Tester</t>
  </si>
  <si>
    <t>Environment</t>
  </si>
  <si>
    <t>Seed Version</t>
  </si>
  <si>
    <t>Scenarios Attempted</t>
  </si>
  <si>
    <t>Duration</t>
  </si>
  <si>
    <t>Notes / Issues Found</t>
  </si>
  <si>
    <t>Scenario Test Summary</t>
  </si>
  <si>
    <t>ID</t>
  </si>
  <si>
    <t>Scenario Name</t>
  </si>
  <si>
    <t>Roles</t>
  </si>
  <si>
    <t>Est. Time</t>
  </si>
  <si>
    <t>Steps</t>
  </si>
  <si>
    <t>Preconditions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</si>
  <si>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</si>
  <si>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</si>
  <si>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</si>
  <si>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</si>
  <si>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</si>
  <si>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</si>
  <si>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</si>
  <si>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</si>
  <si>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</si>
  <si>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</si>
  <si>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Latest Status</t>
  </si>
  <si>
    <t>Bug Issues</t>
  </si>
  <si>
    <t>S-01</t>
  </si>
  <si>
    <t>New User Onboarding &amp; Approval</t>
  </si>
  <si>
    <t>New User, RAV Admin</t>
  </si>
  <si>
    <t>10 min</t>
  </si>
  <si>
    <t>Use an email not in the system (e.g., testuser-[date]@gmail.com)</t>
  </si>
  <si>
    <t>S-02</t>
  </si>
  <si>
    <t>Owner Role Upgrade &amp; Verification</t>
  </si>
  <si>
    <t>Renter 4, RAV Admin</t>
  </si>
  <si>
    <t>Renter 4 (renter004@) has approved renter account, no owner role</t>
  </si>
  <si>
    <t>S-03</t>
  </si>
  <si>
    <t>Property Listing Creation &amp; Approval</t>
  </si>
  <si>
    <t>Owner 1 (Alex, Pro), RAV Admin</t>
  </si>
  <si>
    <t>12 min</t>
  </si>
  <si>
    <t>Owner 1 logged in, not at listing limit (Pro = 10)</t>
  </si>
  <si>
    <t>S-04</t>
  </si>
  <si>
    <t>Direct Booking — Happy Path</t>
  </si>
  <si>
    <t>Renter 1, Owner 1, RAV Admin</t>
  </si>
  <si>
    <t>15 min</t>
  </si>
  <si>
    <t>Active listing from Owner 1 with direct booking (non-bidding)</t>
  </si>
  <si>
    <t>S-05</t>
  </si>
  <si>
    <t>Bidding &amp; Counter-Offer Workflow</t>
  </si>
  <si>
    <t>Renter 1, Owner 1</t>
  </si>
  <si>
    <t>Active listing from Owner 1 with open_for_bidding = true</t>
  </si>
  <si>
    <t>S-06</t>
  </si>
  <si>
    <t>Travel Request &amp; Owner Proposal</t>
  </si>
  <si>
    <t>Renter 2 (Liam), Owner 2 (Maria, Marriott)</t>
  </si>
  <si>
    <t>Owner 2 has active Marriott listings in Orlando</t>
  </si>
  <si>
    <t>S-07</t>
  </si>
  <si>
    <t>Pre-Booking Inquiry &amp; Messaging</t>
  </si>
  <si>
    <t>Renter 3 (Olivia, Premium), Owner 3 (James, Disney)</t>
  </si>
  <si>
    <t>8 min</t>
  </si>
  <si>
    <t>Owner 3 has active Disney listing</t>
  </si>
  <si>
    <t>S-08</t>
  </si>
  <si>
    <t>Booking Messaging &amp; Realtime</t>
  </si>
  <si>
    <t>Confirmed booking between Renter 1 and Owner 1</t>
  </si>
  <si>
    <t>S-09</t>
  </si>
  <si>
    <t>Renter Cancellation Flow</t>
  </si>
  <si>
    <t>S-10</t>
  </si>
  <si>
    <t>Owner Cancellation Flow</t>
  </si>
  <si>
    <t>Owner 1, Renter 1, RAV Admin</t>
  </si>
  <si>
    <t>Confirmed booking between Owner 1 and Renter 1</t>
  </si>
  <si>
    <t>S-11</t>
  </si>
  <si>
    <t>Dispute Resolution — Check-In Issue</t>
  </si>
  <si>
    <t>Renter 1, RAV Admin</t>
  </si>
  <si>
    <t>Confirmed booking at/past check-in date</t>
  </si>
  <si>
    <t>S-12</t>
  </si>
  <si>
    <t>Owner Earnings &amp; Payout Cycle</t>
  </si>
  <si>
    <t>Owner 2 (Maria, Business), RAV Admin</t>
  </si>
  <si>
    <t>Completed booking for Owner 2 with escrow released</t>
  </si>
  <si>
    <t>S-13</t>
  </si>
  <si>
    <t>Membership Upgrade — Owner</t>
  </si>
  <si>
    <t>Owner 3 (James, Free → Pro)</t>
  </si>
  <si>
    <t>Owner 3 has Free tier (3 listing limit)</t>
  </si>
  <si>
    <t>S-14</t>
  </si>
  <si>
    <t>Membership Upgrade — Renter</t>
  </si>
  <si>
    <t>Renter 4 (Free → Plus)</t>
  </si>
  <si>
    <t>Renter 4 has Free tier</t>
  </si>
  <si>
    <t>S-15</t>
  </si>
  <si>
    <t>Referral Program End-to-End</t>
  </si>
  <si>
    <t>Owner 1, New User (incognito), RAV Admin</t>
  </si>
  <si>
    <t>Owner 1 has referral code</t>
  </si>
  <si>
    <t>S-16</t>
  </si>
  <si>
    <t>Search, Filter &amp; Discovery</t>
  </si>
  <si>
    <t>Renter 1 (Plus)</t>
  </si>
  <si>
    <t>Active listings in seed data</t>
  </si>
  <si>
    <t>S-17</t>
  </si>
  <si>
    <t>Notification Delivery &amp; Preferences</t>
  </si>
  <si>
    <t>Active interactions between Renter 1 and Owner 1</t>
  </si>
  <si>
    <t>S-18</t>
  </si>
  <si>
    <t>Admin — Full Operations Cycle</t>
  </si>
  <si>
    <t>RAV Admin, RAV Staff</t>
  </si>
  <si>
    <t>Seed data loaded</t>
  </si>
  <si>
    <t>S-19</t>
  </si>
  <si>
    <t>Stripe Payment Edge Cases</t>
  </si>
  <si>
    <t>Renter 1</t>
  </si>
  <si>
    <t>Active listing for checkout</t>
  </si>
  <si>
    <t>S-20</t>
  </si>
  <si>
    <t>Public Pages &amp; Unauthenticated Access</t>
  </si>
  <si>
    <t>Guest (logged out)</t>
  </si>
  <si>
    <t>Logged out / incognito browser</t>
  </si>
  <si>
    <t>S-21</t>
  </si>
  <si>
    <t>Owner Multi-Listing Management</t>
  </si>
  <si>
    <t>Owner 3 (Free, 3 listing limit)</t>
  </si>
  <si>
    <t>S-22</t>
  </si>
  <si>
    <t>RAV Smart Tools Suite</t>
  </si>
  <si>
    <t>Guest (any user or logged out)</t>
  </si>
  <si>
    <t>None</t>
  </si>
  <si>
    <t>S-23</t>
  </si>
  <si>
    <t>Date Proposal &amp; Flexible Booking</t>
  </si>
  <si>
    <t>Active bidding listing from Owner 1</t>
  </si>
  <si>
    <t>S-24</t>
  </si>
  <si>
    <t>Admin Property &amp; Listing Editing</t>
  </si>
  <si>
    <t>RAV Admin</t>
  </si>
  <si>
    <t>Existing properties and listings in seed data</t>
  </si>
  <si>
    <t>S-25</t>
  </si>
  <si>
    <t>Executive Dashboard &amp; Analytics</t>
  </si>
  <si>
    <t>RAV Owner (dev-owner@)</t>
  </si>
  <si>
    <t>S-26</t>
  </si>
  <si>
    <t>Voice Search &amp; Quota Management</t>
  </si>
  <si>
    <t>Renter 1 (Plus, 25/day), RAV Admin</t>
  </si>
  <si>
    <t>VAPI configured on DEV</t>
  </si>
  <si>
    <t>S-27</t>
  </si>
  <si>
    <t>API Key &amp; Developer Portal</t>
  </si>
  <si>
    <t>S-28</t>
  </si>
  <si>
    <t>iCal Export &amp; Calendar Integration</t>
  </si>
  <si>
    <t>Owner 1 (Alex)</t>
  </si>
  <si>
    <t>5 min</t>
  </si>
  <si>
    <t>Owner 1 has bookings</t>
  </si>
  <si>
    <t>S-29</t>
  </si>
  <si>
    <t>GDPR Data Export &amp; Deletion</t>
  </si>
  <si>
    <t>Renter 50 (expendable account)</t>
  </si>
  <si>
    <t>Use renter050@ (can afford to lose)</t>
  </si>
  <si>
    <t>S-30</t>
  </si>
  <si>
    <t>Complete Marketplace Cycle</t>
  </si>
  <si>
    <t>25 min</t>
  </si>
  <si>
    <t>Reseeded DEV data recommended</t>
  </si>
  <si>
    <t>TOTALS</t>
  </si>
  <si>
    <t>S-01: New User Onboarding &amp; Approval</t>
  </si>
  <si>
    <t>Capability:</t>
  </si>
  <si>
    <t>Signup → Approval → Access</t>
  </si>
  <si>
    <t>Roles:</t>
  </si>
  <si>
    <t>Est. Time:</t>
  </si>
  <si>
    <t>Preconditions:</t>
  </si>
  <si>
    <t>As (Role)</t>
  </si>
  <si>
    <t>Action</t>
  </si>
  <si>
    <t>Page</t>
  </si>
  <si>
    <t>Expected Result</t>
  </si>
  <si>
    <t>Notes / Bug #</t>
  </si>
  <si>
    <t>New User</t>
  </si>
  <si>
    <t>Open incognito → /signup</t>
  </si>
  <si>
    <t>/signup</t>
  </si>
  <si>
    <t>Signup form loads with email + password + Google OAuth</t>
  </si>
  <si>
    <t>Enter name, email, password → Submit</t>
  </si>
  <si>
    <t>Success message, redirected to /pending-approval</t>
  </si>
  <si>
    <t>Try navigating to /rentals</t>
  </si>
  <si>
    <t>/rentals</t>
  </si>
  <si>
    <t>Blocked — redirected to /pending-approval</t>
  </si>
  <si>
    <t>Admin</t>
  </si>
  <si>
    <t>Log in as dev-admin@rent-a-vacation.com</t>
  </si>
  <si>
    <t>/login</t>
  </si>
  <si>
    <t>Dashboard loads</t>
  </si>
  <si>
    <t>Navigate to /admin?tab=pending-approvals</t>
  </si>
  <si>
    <t>/admin</t>
  </si>
  <si>
    <t>New user in pending list</t>
  </si>
  <si>
    <t>Click Approve on the new user</t>
  </si>
  <si>
    <t>Status changes to approved</t>
  </si>
  <si>
    <t>Refresh or re-login</t>
  </si>
  <si>
    <t>—</t>
  </si>
  <si>
    <t>Redirected to /rentals — full access</t>
  </si>
  <si>
    <t>Browse /rentals, click a listing</t>
  </si>
  <si>
    <t>/property/:id</t>
  </si>
  <si>
    <t>Property details load</t>
  </si>
  <si>
    <t>SCENARIO RESULT</t>
  </si>
  <si>
    <t>S-02: Owner Role Upgrade &amp; Verification</t>
  </si>
  <si>
    <t>Role upgrade → Doc upload → Admin verify</t>
  </si>
  <si>
    <t>Renter 4</t>
  </si>
  <si>
    <t>Log in → /owner-dashboard</t>
  </si>
  <si>
    <t>/owner-dashboard</t>
  </si>
  <si>
    <t>RoleUpgradeDialog appears</t>
  </si>
  <si>
    <t>Submit role upgrade request</t>
  </si>
  <si>
    <t>Toast: Request submitted</t>
  </si>
  <si>
    <t>Log in → /admin?tab=pending-approvals</t>
  </si>
  <si>
    <t>Role upgrade request visible</t>
  </si>
  <si>
    <t>Approve role upgrade</t>
  </si>
  <si>
    <t>Renter 4 now has property_owner role</t>
  </si>
  <si>
    <t>Refresh page or re-login</t>
  </si>
  <si>
    <t>Owner dashboard loads (no upgrade dialog)</t>
  </si>
  <si>
    <t>Account tab → Verification section</t>
  </si>
  <si>
    <t>/owner-dashboard?tab=account</t>
  </si>
  <si>
    <t>Upload fields visible</t>
  </si>
  <si>
    <t>Upload verification documents</t>
  </si>
  <si>
    <t>Status: Pending verification</t>
  </si>
  <si>
    <t>/admin?tab=verifications</t>
  </si>
  <si>
    <t>Docs in verification queue</t>
  </si>
  <si>
    <t>Review and approve verification</t>
  </si>
  <si>
    <t>Status: Verified</t>
  </si>
  <si>
    <t>Refresh Account tab</t>
  </si>
  <si>
    <t>Verification badge: Verified</t>
  </si>
  <si>
    <t>S-03: Property Listing Creation &amp; Approval</t>
  </si>
  <si>
    <t>List property → Admin review → Goes live</t>
  </si>
  <si>
    <t>Owner 1</t>
  </si>
  <si>
    <t>Navigate to /list-property</t>
  </si>
  <si>
    <t>/list-property</t>
  </si>
  <si>
    <t>3-step form loads</t>
  </si>
  <si>
    <t>Step 1: Fill property details (Las Vegas, Hilton, 2BR/2BA, sleeps 6)</t>
  </si>
  <si>
    <t>Fields accept input, amenities work</t>
  </si>
  <si>
    <t>Click Next</t>
  </si>
  <si>
    <t>Step 2: Dates &amp; Pricing</t>
  </si>
  <si>
    <t>Step 2: Check-in 60d out, 7 nights, $200/night, Moderate cancel, Open for Bidding</t>
  </si>
  <si>
    <t>Price: $1,400 owner + $210 markup = $1,610</t>
  </si>
  <si>
    <t>Step 3: Review &amp; Submit</t>
  </si>
  <si>
    <t>Review → Submit for Review</t>
  </si>
  <si>
    <t>Redirected to /owner-dashboard?tab=my-listings</t>
  </si>
  <si>
    <t>Check My Listings tab</t>
  </si>
  <si>
    <t>Status: Pending Approval</t>
  </si>
  <si>
    <t>Log in → /admin?tab=listings</t>
  </si>
  <si>
    <t>New listing in pending queue</t>
  </si>
  <si>
    <t>Review → Approve</t>
  </si>
  <si>
    <t>Status: Active</t>
  </si>
  <si>
    <t>Refresh My Listings</t>
  </si>
  <si>
    <t>Log in → /rentals → search Las Vegas</t>
  </si>
  <si>
    <t>New listing appears</t>
  </si>
  <si>
    <t>Click listing</t>
  </si>
  <si>
    <t>Full details visible with bidding badge</t>
  </si>
  <si>
    <t>S-04: Direct Booking — Happy Path</t>
  </si>
  <si>
    <t>Browse → Book → Pay → Owner confirm → Escrow</t>
  </si>
  <si>
    <t>Log in → /rentals → find Owner 1 fixed-price listing</t>
  </si>
  <si>
    <t>Listing visible with price</t>
  </si>
  <si>
    <t>Click listing → view details</t>
  </si>
  <si>
    <t>Price breakdown, cancellation policy detail</t>
  </si>
  <si>
    <t>Click Book Now</t>
  </si>
  <si>
    <t>/checkout</t>
  </si>
  <si>
    <t>Checkout with fee breakdown, Stripe form</t>
  </si>
  <si>
    <t>Pay with test card 4242...4242</t>
  </si>
  <si>
    <t>Redirect to /booking-success</t>
  </si>
  <si>
    <t>View booking confirmation</t>
  </si>
  <si>
    <t>/booking-success</t>
  </si>
  <si>
    <t>Timeline: Payment ✅, Owner Confirm ⏳</t>
  </si>
  <si>
    <t>Log in → check notification bell</t>
  </si>
  <si>
    <t>Any page</t>
  </si>
  <si>
    <t>Notification: New booking</t>
  </si>
  <si>
    <t>/owner-dashboard?tab=bookings-earnings</t>
  </si>
  <si>
    <t>Booking with Confirm button + countdown</t>
  </si>
  <si>
    <t>Confirm → enter resort confirmation RST123456</t>
  </si>
  <si>
    <t>Status: Confirmed</t>
  </si>
  <si>
    <t>/my-trips?tab=bookings</t>
  </si>
  <si>
    <t>/my-trips</t>
  </si>
  <si>
    <t>Booking: Confirmed, timeline updated</t>
  </si>
  <si>
    <t>/admin?tab=escrow</t>
  </si>
  <si>
    <t>Escrow: Pending Verification</t>
  </si>
  <si>
    <t>Verify confirmation → Release escrow</t>
  </si>
  <si>
    <t>Escrow: Released</t>
  </si>
  <si>
    <t>Check Bookings &amp; Earnings</t>
  </si>
  <si>
    <t>Earnings updated, payout visible</t>
  </si>
  <si>
    <t>S-05: Bidding &amp; Counter-Offer Workflow</t>
  </si>
  <si>
    <t>Bid → Counter → Accept → Booking</t>
  </si>
  <si>
    <t>/rentals → find bidding listing from Owner 1</t>
  </si>
  <si>
    <t>Open for Bidding badge visible</t>
  </si>
  <si>
    <t>Click listing → Place Bid</t>
  </si>
  <si>
    <t>BidFormDialog opens</t>
  </si>
  <si>
    <t>Bid at 80% of list price, 4 guests, add message → Submit</t>
  </si>
  <si>
    <t>Toast: Bid submitted</t>
  </si>
  <si>
    <t>/my-trips?tab=offers</t>
  </si>
  <si>
    <t>Bid: Pending</t>
  </si>
  <si>
    <t>Any</t>
  </si>
  <si>
    <t>Notification: New bid received</t>
  </si>
  <si>
    <t>My Listings → View Bids (BidsManagerDialog)</t>
  </si>
  <si>
    <t>Renter 1's bid visible</t>
  </si>
  <si>
    <t>Counter at 90% of list price with message → Submit</t>
  </si>
  <si>
    <t>Counter-offer sent</t>
  </si>
  <si>
    <t>Check /my-trips?tab=offers</t>
  </si>
  <si>
    <t>Counter-offer amount + message shown</t>
  </si>
  <si>
    <t>Accept counter-offer</t>
  </si>
  <si>
    <t>Redirected to /checkout at counter amount</t>
  </si>
  <si>
    <t>Complete Stripe payment</t>
  </si>
  <si>
    <t>Booking created at counter price</t>
  </si>
  <si>
    <t>New booking from bid visible</t>
  </si>
  <si>
    <t>S-06: Travel Request &amp; Owner Proposal</t>
  </si>
  <si>
    <t>Post request → Owner proposes → Accept → Book</t>
  </si>
  <si>
    <t>Renter 2</t>
  </si>
  <si>
    <t>Log in → /bidding</t>
  </si>
  <si>
    <t>/bidding</t>
  </si>
  <si>
    <t>TravelRequestForm loads</t>
  </si>
  <si>
    <t>Fill: Orlando FL, 45d out, 5 nights, 4 guests, $1000-2000, flexible ±3d → Submit</t>
  </si>
  <si>
    <t>Toast: Travel request posted</t>
  </si>
  <si>
    <t>Owner 2</t>
  </si>
  <si>
    <t>Log in → /owner-dashboard → travel requests section</t>
  </si>
  <si>
    <t>Renter 2's matched request visible</t>
  </si>
  <si>
    <t>View request → Submit Proposal</t>
  </si>
  <si>
    <t>Proposal form opens</t>
  </si>
  <si>
    <t>Select Grande Vista, $1,500, matching dates, add message → Submit</t>
  </si>
  <si>
    <t>Toast: Proposal sent</t>
  </si>
  <si>
    <t>Check notification bell</t>
  </si>
  <si>
    <t>Notification: Owner proposal received</t>
  </si>
  <si>
    <t>Proposal with property, price, dates</t>
  </si>
  <si>
    <t>Accept Proposal</t>
  </si>
  <si>
    <t>Redirected to /checkout</t>
  </si>
  <si>
    <t>Booking at $1,500</t>
  </si>
  <si>
    <t>Check bookings</t>
  </si>
  <si>
    <t>Booking from travel request visible</t>
  </si>
  <si>
    <t>S-07: Pre-Booking Inquiry &amp; Messaging</t>
  </si>
  <si>
    <t>Ask question → Owner replies → Conversation</t>
  </si>
  <si>
    <t>Renter 3</t>
  </si>
  <si>
    <t>Log in → find Disney listing → /property/:id</t>
  </si>
  <si>
    <t>Ask the Owner button visible</t>
  </si>
  <si>
    <t>Click Ask the Owner → type question → Send</t>
  </si>
  <si>
    <t>Toast: Message sent</t>
  </si>
  <si>
    <t>Owner 3</t>
  </si>
  <si>
    <t>Notification: New inquiry</t>
  </si>
  <si>
    <t>Click notification → view InquiryThread</t>
  </si>
  <si>
    <t>InquiryThread</t>
  </si>
  <si>
    <t>Renter's message visible</t>
  </si>
  <si>
    <t>Reply with answer → Send</t>
  </si>
  <si>
    <t>Reply sent</t>
  </si>
  <si>
    <t>Check notification → view thread</t>
  </si>
  <si>
    <t>Owner's reply visible</t>
  </si>
  <si>
    <t>Reply again → Send</t>
  </si>
  <si>
    <t>Conversation continues</t>
  </si>
  <si>
    <t>S-08: Booking Messaging &amp; Realtime</t>
  </si>
  <si>
    <t>Post-booking thread → Realtime delivery</t>
  </si>
  <si>
    <t>/my-trips?tab=bookings → select booking → open messages</t>
  </si>
  <si>
    <t>BookingMessageThread loads</t>
  </si>
  <si>
    <t>Type message: 'What's the WiFi password?' → Send</t>
  </si>
  <si>
    <t>Message appears instantly</t>
  </si>
  <si>
    <t>Log in (separate browser) → check bell</t>
  </si>
  <si>
    <t>Notification arrives (realtime, no refresh)</t>
  </si>
  <si>
    <t>Navigate to booking → open messages</t>
  </si>
  <si>
    <t>Reply with WiFi info → Send</t>
  </si>
  <si>
    <t>Message sent</t>
  </si>
  <si>
    <t>Check thread WITHOUT refreshing</t>
  </si>
  <si>
    <t>Owner's reply appears in realtime</t>
  </si>
  <si>
    <t>S-09: Renter Cancellation Flow</t>
  </si>
  <si>
    <t>Cancel → Policy refund → Status updates</t>
  </si>
  <si>
    <t>/my-trips?tab=bookings → select booking</t>
  </si>
  <si>
    <t>Cancel Booking option visible</t>
  </si>
  <si>
    <t>Click Cancel Booking</t>
  </si>
  <si>
    <t>CancelBookingDialog: policy, refund estimate</t>
  </si>
  <si>
    <t>Reason: Change of plans → Confirm</t>
  </si>
  <si>
    <t>Toast: Cancellation requested</t>
  </si>
  <si>
    <t>View booking in My Trips</t>
  </si>
  <si>
    <t>Status: Cancelled, refund amount shown</t>
  </si>
  <si>
    <t>Log in → check notification</t>
  </si>
  <si>
    <t>Notification: Booking cancelled</t>
  </si>
  <si>
    <t>Status: Cancelled, listing re-available</t>
  </si>
  <si>
    <t>/admin?tab=bookings</t>
  </si>
  <si>
    <t>Cancellation with refund details</t>
  </si>
  <si>
    <t>Verify refund processed</t>
  </si>
  <si>
    <t>Refund matches policy (flex/mod/strict)</t>
  </si>
  <si>
    <t>S-10: Owner Cancellation Flow</t>
  </si>
  <si>
    <t>Owner cancels → Full refund → Penalty</t>
  </si>
  <si>
    <t>/owner-dashboard?tab=bookings-earnings → select booking</t>
  </si>
  <si>
    <t>Cancel option visible</t>
  </si>
  <si>
    <t>Click Cancel → dialog warns about penalty</t>
  </si>
  <si>
    <t>Warning: full refund + cancellation count</t>
  </si>
  <si>
    <t>Select reason → Confirm</t>
  </si>
  <si>
    <t>Cancellation processed</t>
  </si>
  <si>
    <t>Status: Cancelled by Owner, full refund</t>
  </si>
  <si>
    <t>Check notification</t>
  </si>
  <si>
    <t>Notification: Owner cancelled, full refund</t>
  </si>
  <si>
    <t>Owner cancellation logged, refund = 100%</t>
  </si>
  <si>
    <t>Check dashboard</t>
  </si>
  <si>
    <t>Cancellation count incremented</t>
  </si>
  <si>
    <t>S-11: Dispute Resolution — Check-In Issue</t>
  </si>
  <si>
    <t>Report issue → Evidence → Admin resolves</t>
  </si>
  <si>
    <t>/checkin or /my-trips → select booking</t>
  </si>
  <si>
    <t>Various</t>
  </si>
  <si>
    <t>Report Issue button visible</t>
  </si>
  <si>
    <t>Click Report Issue → ReportIssueDialog</t>
  </si>
  <si>
    <t>Category dropdown, description, evidence upload</t>
  </si>
  <si>
    <t>Category: Room not as described, add description + photo → Submit</t>
  </si>
  <si>
    <t>Toast: Issue reported</t>
  </si>
  <si>
    <t>/my-trips → booking detail</t>
  </si>
  <si>
    <t>Dispute status: Under Review</t>
  </si>
  <si>
    <t>/admin?tab=disputes</t>
  </si>
  <si>
    <t>New dispute with category, description</t>
  </si>
  <si>
    <t>Click dispute → view evidence thumbnails</t>
  </si>
  <si>
    <t>Photos render correctly</t>
  </si>
  <si>
    <t>Add notes, select resolution (full/partial refund) → Resolve</t>
  </si>
  <si>
    <t>Status: Resolved</t>
  </si>
  <si>
    <t>Check /my-trips + notification</t>
  </si>
  <si>
    <t>Dispute resolved, refund details shown</t>
  </si>
  <si>
    <t>S-12: Owner Earnings &amp; Payout Cycle</t>
  </si>
  <si>
    <t>Completed booking → Escrow release → Payout</t>
  </si>
  <si>
    <t>Log in → /owner-dashboard (Dashboard tab)</t>
  </si>
  <si>
    <t>Earnings summary: total, pending, paid</t>
  </si>
  <si>
    <t>Bookings &amp; Earnings tab</t>
  </si>
  <si>
    <t>Completed bookings with amounts</t>
  </si>
  <si>
    <t>Verify commission: total - 10% (Business tier)</t>
  </si>
  <si>
    <t>Commission calc correct</t>
  </si>
  <si>
    <t>Check Stripe Connect status (StripeConnectBanner)</t>
  </si>
  <si>
    <t>Connect or Payouts Enabled state</t>
  </si>
  <si>
    <t>/admin?tab=payouts</t>
  </si>
  <si>
    <t>Owner 2 pending payout visible</t>
  </si>
  <si>
    <t>Pay via Stripe → Confirm in AlertDialog</t>
  </si>
  <si>
    <t>Payout: Processing/Paid</t>
  </si>
  <si>
    <t>Refresh Bookings &amp; Earnings</t>
  </si>
  <si>
    <t>Payout status: Paid</t>
  </si>
  <si>
    <t>S-13: Membership Upgrade — Owner</t>
  </si>
  <si>
    <t>Free → Pro → Listing limit increase</t>
  </si>
  <si>
    <t>Log in → /owner-dashboard?tab=account</t>
  </si>
  <si>
    <t>Tier: Free, limit: 3</t>
  </si>
  <si>
    <t>Click Upgrade Plan → MembershipPlans</t>
  </si>
  <si>
    <t>Tier comparison table</t>
  </si>
  <si>
    <t>Select Pro tier → Stripe Checkout</t>
  </si>
  <si>
    <t>Stripe</t>
  </si>
  <si>
    <t>Pro plan at $10/month</t>
  </si>
  <si>
    <t>Complete payment</t>
  </si>
  <si>
    <t>/subscription-success</t>
  </si>
  <si>
    <t>Subscription confirmed</t>
  </si>
  <si>
    <t>Return to /owner-dashboard?tab=account</t>
  </si>
  <si>
    <t>Tier: Pro, limit: 10</t>
  </si>
  <si>
    <t>Can create new listing (was at limit)</t>
  </si>
  <si>
    <t>Check My Listings</t>
  </si>
  <si>
    <t>Limit shows updated (e.g., 2/10)</t>
  </si>
  <si>
    <t>S-14: Membership Upgrade — Renter</t>
  </si>
  <si>
    <t>Free → Plus → Perks visible</t>
  </si>
  <si>
    <t>Log in → /my-trips</t>
  </si>
  <si>
    <t>Current tier shown, upgrade prompt</t>
  </si>
  <si>
    <t>Click upgrade → MembershipPlans</t>
  </si>
  <si>
    <t>Free vs Plus ($5) vs Premium ($15)</t>
  </si>
  <si>
    <t>Select Plus → Stripe Checkout</t>
  </si>
  <si>
    <t>Plus at $5/month</t>
  </si>
  <si>
    <t>Return to /my-trips</t>
  </si>
  <si>
    <t>Tier: Plus, perks visible</t>
  </si>
  <si>
    <t>S-15: Referral Program End-to-End</t>
  </si>
  <si>
    <t>Generate code → Signup with ref → Track</t>
  </si>
  <si>
    <t>/owner-dashboard?tab=account → Referral section</t>
  </si>
  <si>
    <t>ReferralDashboard with code + share link</t>
  </si>
  <si>
    <t>Copy referral link</t>
  </si>
  <si>
    <t>Link copied</t>
  </si>
  <si>
    <t>Incognito → paste referral link → /signup?ref=REFxxx</t>
  </si>
  <si>
    <t>Signup form with ref param captured</t>
  </si>
  <si>
    <t>Complete signup</t>
  </si>
  <si>
    <t>Account created, referral recorded</t>
  </si>
  <si>
    <t>Approve new user</t>
  </si>
  <si>
    <t>User approved</t>
  </si>
  <si>
    <t>Check ReferralDashboard</t>
  </si>
  <si>
    <t>Referral count incremented</t>
  </si>
  <si>
    <t>S-16: Search, Filter &amp; Discovery</t>
  </si>
  <si>
    <t>Filters → Sort → Compare → Save search</t>
  </si>
  <si>
    <t>Log in → /rentals</t>
  </si>
  <si>
    <t>Listing grid with filter bar</t>
  </si>
  <si>
    <t>Filter: Orlando, 2+ bedrooms, $100-300/night</t>
  </si>
  <si>
    <t>Results narrow, count updates</t>
  </si>
  <si>
    <t>Sort: Price Low to High</t>
  </si>
  <si>
    <t>Order correct</t>
  </si>
  <si>
    <t>Sort: Price High to Low</t>
  </si>
  <si>
    <t>Order reverses</t>
  </si>
  <si>
    <t>Click Save Search</t>
  </si>
  <si>
    <t>Toast: Search saved</t>
  </si>
  <si>
    <t>Enable Compare mode</t>
  </si>
  <si>
    <t>Checkboxes appear on cards</t>
  </si>
  <si>
    <t>Select 2-3 listings → Compare</t>
  </si>
  <si>
    <t>CompareListingsDialog with Best Value badges</t>
  </si>
  <si>
    <t>Close → /my-trips?tab=favorites</t>
  </si>
  <si>
    <t>Saved search visible</t>
  </si>
  <si>
    <t>/destinations</t>
  </si>
  <si>
    <t>10 destinations with city counts</t>
  </si>
  <si>
    <t>Click destination → city → listings</t>
  </si>
  <si>
    <t>/destinations/:slug/:city</t>
  </si>
  <si>
    <t>Filtered listings</t>
  </si>
  <si>
    <t>S-17: Notification Delivery &amp; Preferences</t>
  </si>
  <si>
    <t>Trigger event → Notification arrives → Preferences</t>
  </si>
  <si>
    <t>Click notification bell</t>
  </si>
  <si>
    <t>Unread count + dropdown list</t>
  </si>
  <si>
    <t>Click View All</t>
  </si>
  <si>
    <t>/notifications</t>
  </si>
  <si>
    <t>Full feed with category filters</t>
  </si>
  <si>
    <t>Filter by Bookings</t>
  </si>
  <si>
    <t>Only booking notifications</t>
  </si>
  <si>
    <t>/settings/notifications</t>
  </si>
  <si>
    <t>Per-type per-channel toggles</t>
  </si>
  <si>
    <t>Toggle OFF email for Booking updates</t>
  </si>
  <si>
    <t>Preference saved</t>
  </si>
  <si>
    <t>Trigger a booking event</t>
  </si>
  <si>
    <t>Verify: in-app notification ✅, email ❌</t>
  </si>
  <si>
    <t>Channel preference respected</t>
  </si>
  <si>
    <t>Owner-specific notification types</t>
  </si>
  <si>
    <t>S-18: Admin — Full Operations Cycle</t>
  </si>
  <si>
    <t>All admin tabs + staff boundary check</t>
  </si>
  <si>
    <t>Log in → /admin</t>
  </si>
  <si>
    <t>/admin?tab=overview</t>
  </si>
  <si>
    <t>Overview: KPIs, charts, pending counts</t>
  </si>
  <si>
    <t>Click through Properties tab</t>
  </si>
  <si>
    <t>/admin?tab=properties</t>
  </si>
  <si>
    <t>Property list + edit button</t>
  </si>
  <si>
    <t>Listings tab</t>
  </si>
  <si>
    <t>/admin?tab=listings</t>
  </si>
  <si>
    <t>Approve/reject queue</t>
  </si>
  <si>
    <t>Bookings tab</t>
  </si>
  <si>
    <t>Booking list + filters</t>
  </si>
  <si>
    <t>Escrow tab</t>
  </si>
  <si>
    <t>Verify/release controls</t>
  </si>
  <si>
    <t>Issues tab</t>
  </si>
  <si>
    <t>/admin?tab=issues</t>
  </si>
  <si>
    <t>Check-in issues list</t>
  </si>
  <si>
    <t>Disputes tab</t>
  </si>
  <si>
    <t>Dispute queue + evidence</t>
  </si>
  <si>
    <t>Verifications tab</t>
  </si>
  <si>
    <t>Doc review queue</t>
  </si>
  <si>
    <t>Users tab</t>
  </si>
  <si>
    <t>/admin?tab=users</t>
  </si>
  <si>
    <t>User search + roles</t>
  </si>
  <si>
    <t>Approvals tab</t>
  </si>
  <si>
    <t>/admin?tab=pending-approvals</t>
  </si>
  <si>
    <t>Pending users + upgrades</t>
  </si>
  <si>
    <t>Financials tab</t>
  </si>
  <si>
    <t>/admin?tab=financials</t>
  </si>
  <si>
    <t>Revenue, commissions</t>
  </si>
  <si>
    <t>Tax tab</t>
  </si>
  <si>
    <t>/admin?tab=tax</t>
  </si>
  <si>
    <t>1099-K tracking</t>
  </si>
  <si>
    <t>Payouts tab</t>
  </si>
  <si>
    <t>Payout queue</t>
  </si>
  <si>
    <t>Memberships tab</t>
  </si>
  <si>
    <t>/admin?tab=memberships</t>
  </si>
  <si>
    <t>MRR, tier distribution</t>
  </si>
  <si>
    <t>Settings tab</t>
  </si>
  <si>
    <t>/admin?tab=settings</t>
  </si>
  <si>
    <t>Commission, Staff-Only Mode</t>
  </si>
  <si>
    <t>Voice tab</t>
  </si>
  <si>
    <t>/admin?tab=voice</t>
  </si>
  <si>
    <t>Quotas, usage charts</t>
  </si>
  <si>
    <t>Resorts tab</t>
  </si>
  <si>
    <t>/admin?tab=resorts</t>
  </si>
  <si>
    <t>117 resorts, import tool</t>
  </si>
  <si>
    <t>Notifications tab</t>
  </si>
  <si>
    <t>/admin?tab=notifications</t>
  </si>
  <si>
    <t>Catalog, events, delivery log</t>
  </si>
  <si>
    <t>API Keys tab</t>
  </si>
  <si>
    <t>/admin?tab=api-keys</t>
  </si>
  <si>
    <t>Key management</t>
  </si>
  <si>
    <t>Dev Tools tab (DEV only)</t>
  </si>
  <si>
    <t>/admin?tab=dev-tools</t>
  </si>
  <si>
    <t>Seed manager</t>
  </si>
  <si>
    <t>Staff</t>
  </si>
  <si>
    <t>Log in as dev-staff → /admin</t>
  </si>
  <si>
    <t>Overview loads</t>
  </si>
  <si>
    <t>Verify 10 operational tabs accessible</t>
  </si>
  <si>
    <t>All 10 load correctly</t>
  </si>
  <si>
    <t>Try /admin?tab=financials (direct URL)</t>
  </si>
  <si>
    <t>Access denied or redirected</t>
  </si>
  <si>
    <t>Verify admin-only tabs NOT in navigation</t>
  </si>
  <si>
    <t>Financials/Tax/etc not visible</t>
  </si>
  <si>
    <t>S-19: Stripe Payment Edge Cases</t>
  </si>
  <si>
    <t>Decline, 3DS, expired card handling</t>
  </si>
  <si>
    <t>Start checkout for a listing</t>
  </si>
  <si>
    <t>Payment form loads</t>
  </si>
  <si>
    <t>Card: 4000 0000 0000 9995 (insufficient funds)</t>
  </si>
  <si>
    <t>Error: Insufficient funds</t>
  </si>
  <si>
    <t>Card: 4000 0000 0000 0002 (decline)</t>
  </si>
  <si>
    <t>Error: Card declined</t>
  </si>
  <si>
    <t>Card: 4000 0000 0000 0069 (expired)</t>
  </si>
  <si>
    <t>Error: Card expired</t>
  </si>
  <si>
    <t>Card: 4000 0027 6000 3184 (3DS) → complete auth</t>
  </si>
  <si>
    <t>3DS popup → payment succeeds</t>
  </si>
  <si>
    <t>New checkout → Card: 4000 0084 0000 1629 (3DS fail)</t>
  </si>
  <si>
    <t>3DS popup → payment declined</t>
  </si>
  <si>
    <t>S-20: Public Pages &amp; Unauthenticated Access</t>
  </si>
  <si>
    <t>All public routes + protected route guards</t>
  </si>
  <si>
    <t>Guest</t>
  </si>
  <si>
    <t>Navigate to /</t>
  </si>
  <si>
    <t>/</t>
  </si>
  <si>
    <t>Landing page: hero, features, properties</t>
  </si>
  <si>
    <t>/how-it-works</t>
  </si>
  <si>
    <t>Page loads with sections</t>
  </si>
  <si>
    <t>10 destinations with counts</t>
  </si>
  <si>
    <t>/faq</t>
  </si>
  <si>
    <t>FAQ accordion loads</t>
  </si>
  <si>
    <t>/terms</t>
  </si>
  <si>
    <t>Terms renders</t>
  </si>
  <si>
    <t>/privacy</t>
  </si>
  <si>
    <t>Privacy renders</t>
  </si>
  <si>
    <t>/contact</t>
  </si>
  <si>
    <t>Contact form loads</t>
  </si>
  <si>
    <t>/tools</t>
  </si>
  <si>
    <t>5 tools listed</t>
  </si>
  <si>
    <t>/calculator</t>
  </si>
  <si>
    <t>SmartEarn works without login</t>
  </si>
  <si>
    <t>/developers</t>
  </si>
  <si>
    <t>API docs / Swagger loads</t>
  </si>
  <si>
    <t>/user-guide</t>
  </si>
  <si>
    <t>User guide renders</t>
  </si>
  <si>
    <t>Login form + Google OAuth</t>
  </si>
  <si>
    <t>Signup form loads</t>
  </si>
  <si>
    <t>Try /rentals (protected)</t>
  </si>
  <si>
    <t>Redirected to login</t>
  </si>
  <si>
    <t>Try /admin (protected)</t>
  </si>
  <si>
    <t>Try /my-trips (protected)</t>
  </si>
  <si>
    <t>/nonexistent-page</t>
  </si>
  <si>
    <t>404</t>
  </si>
  <si>
    <t>Custom 404 page</t>
  </si>
  <si>
    <t>S-21: Owner Multi-Listing Management</t>
  </si>
  <si>
    <t>Multiple listings, tier limits, drafts</t>
  </si>
  <si>
    <t>/owner-dashboard?tab=my-listings</t>
  </si>
  <si>
    <t>Listing count shown (e.g., 2/3)</t>
  </si>
  <si>
    <t>/list-property → start filling → navigate away</t>
  </si>
  <si>
    <t>Form auto-saves to localStorage</t>
  </si>
  <si>
    <t>Return to /list-property</t>
  </si>
  <si>
    <t>Draft restored from localStorage</t>
  </si>
  <si>
    <t>Complete and submit listing</t>
  </si>
  <si>
    <t>Submitted (now at 3/3 limit)</t>
  </si>
  <si>
    <t>Try /list-property again</t>
  </si>
  <si>
    <t>Warning: Reached limit, upgrade link</t>
  </si>
  <si>
    <t>Edit existing listing in My Listings</t>
  </si>
  <si>
    <t>Edit dialog: nightly rate, dates, policy</t>
  </si>
  <si>
    <t>Verify listing statuses</t>
  </si>
  <si>
    <t>Each shows correct status</t>
  </si>
  <si>
    <t>S-22: RAV Smart Tools Suite</t>
  </si>
  <si>
    <t>SmartEarn, SmartCompare, SmartMatch, SmartBudget</t>
  </si>
  <si>
    <t>Hub: 5 tools with descriptions</t>
  </si>
  <si>
    <t>/calculator → Hilton, $2400/yr, 1 week → Calculate</t>
  </si>
  <si>
    <t>Breakeven analysis + bar chart</t>
  </si>
  <si>
    <t>Toggle Yield Estimator mode</t>
  </si>
  <si>
    <t>ROI % + projected earnings</t>
  </si>
  <si>
    <t>/tools/cost-comparator → hotel $300/night, 7 nights</t>
  </si>
  <si>
    <t>/tools/cost-comparator</t>
  </si>
  <si>
    <t>Hotel vs timeshare vs RAV comparison</t>
  </si>
  <si>
    <t>/tools/resort-quiz → answer questions</t>
  </si>
  <si>
    <t>/tools/resort-quiz</t>
  </si>
  <si>
    <t>Results: matched resorts with scores</t>
  </si>
  <si>
    <t>/tools/budget-planner → fill inputs</t>
  </si>
  <si>
    <t>/tools/budget-planner</t>
  </si>
  <si>
    <t>Budget breakdown rendered</t>
  </si>
  <si>
    <t>Verify breadcrumbs navigate to /tools</t>
  </si>
  <si>
    <t>All tool pages</t>
  </si>
  <si>
    <t>Breadcrumbs work</t>
  </si>
  <si>
    <t>S-23: Date Proposal &amp; Flexible Booking</t>
  </si>
  <si>
    <t>Propose alt dates → Owner reviews → Accept</t>
  </si>
  <si>
    <t>Find bidding listing → Make an Offer</t>
  </si>
  <si>
    <t>BidFormDialog in bid mode</t>
  </si>
  <si>
    <t>Switch to Propose Different Dates mode</t>
  </si>
  <si>
    <t>Date pickers + auto-computed bid</t>
  </si>
  <si>
    <t>Select different check-in/out, verify auto-calc</t>
  </si>
  <si>
    <t>Bid = nightly_rate × nights</t>
  </si>
  <si>
    <t>Add message → Submit</t>
  </si>
  <si>
    <t>Toast: Date proposal submitted</t>
  </si>
  <si>
    <t>My Listings → BidsManagerDialog</t>
  </si>
  <si>
    <t>Date proposal with proposed dates + amount</t>
  </si>
  <si>
    <t>Accept or counter the date proposal</t>
  </si>
  <si>
    <t>Response sent</t>
  </si>
  <si>
    <t>Date proposal response visible</t>
  </si>
  <si>
    <t>S-24: Admin Property &amp; Listing Editing</t>
  </si>
  <si>
    <t>Edit property/listing details, audit trail</t>
  </si>
  <si>
    <t>/admin?tab=properties → select property</t>
  </si>
  <si>
    <t>Property details visible</t>
  </si>
  <si>
    <t>Click Edit → AdminPropertyEditDialog</t>
  </si>
  <si>
    <t>Fields: brand, resort, bedrooms, etc.</t>
  </si>
  <si>
    <t>Change bedrooms 2→3 → Save</t>
  </si>
  <si>
    <t>Success toast, property updated</t>
  </si>
  <si>
    <t>Verify audit trail: edited by + timestamp</t>
  </si>
  <si>
    <t>last_edited_by/at populated</t>
  </si>
  <si>
    <t>/admin?tab=listings → select active listing</t>
  </si>
  <si>
    <t>Listing with pricing</t>
  </si>
  <si>
    <t>Click Edit → AdminListingEditDialog</t>
  </si>
  <si>
    <t>Live price calc visible</t>
  </si>
  <si>
    <t>Change nightly rate → observe recalculation</t>
  </si>
  <si>
    <t>Owner price, markup, final update live</t>
  </si>
  <si>
    <t>Save changes</t>
  </si>
  <si>
    <t>Listing updated</t>
  </si>
  <si>
    <t>Try editing booked/completed listing</t>
  </si>
  <si>
    <t>Edit disabled or blocked</t>
  </si>
  <si>
    <t>S-25: Executive Dashboard &amp; Analytics</t>
  </si>
  <si>
    <t>Strategic metrics, market data</t>
  </si>
  <si>
    <t>RAV Owner</t>
  </si>
  <si>
    <t>/executive-dashboard</t>
  </si>
  <si>
    <t>Dashboard loads with data</t>
  </si>
  <si>
    <t>Verify KPI cards: GMV, listings, users, conversion</t>
  </si>
  <si>
    <t>Numbers render from seed data</t>
  </si>
  <si>
    <t>Check liquidity score</t>
  </si>
  <si>
    <t>Score + explanation renders</t>
  </si>
  <si>
    <t>Verify unit economics section</t>
  </si>
  <si>
    <t>Commission, avg booking, CAC</t>
  </si>
  <si>
    <t>Check market benchmarks</t>
  </si>
  <si>
    <t>Section renders</t>
  </si>
  <si>
    <t>Log in as dev-staff → /executive-dashboard</t>
  </si>
  <si>
    <t>S-26: Voice Search &amp; Quota Management</t>
  </si>
  <si>
    <t>Voice search → Quota tracking → Admin override</t>
  </si>
  <si>
    <t>/rentals → click voice search icon</t>
  </si>
  <si>
    <t>Voice UI activates</t>
  </si>
  <si>
    <t>Search: 'Beach vacation in Orlando'</t>
  </si>
  <si>
    <t>Results filter, search logged</t>
  </si>
  <si>
    <t>/admin?tab=voice → VoiceUsageDashboard</t>
  </si>
  <si>
    <t>Renter 1's search in chart</t>
  </si>
  <si>
    <t>VoiceUserOverrideManager → find Renter 1</t>
  </si>
  <si>
    <t>User found</t>
  </si>
  <si>
    <t>Set custom quota: 50/day</t>
  </si>
  <si>
    <t>Override saved</t>
  </si>
  <si>
    <t>Alternatively: disable voice for user</t>
  </si>
  <si>
    <t>Disabled flag saved</t>
  </si>
  <si>
    <t>If disabled: try voice search</t>
  </si>
  <si>
    <t>Voice search disabled message</t>
  </si>
  <si>
    <t>VoiceObservability → log viewer</t>
  </si>
  <si>
    <t>Recent logs with query, duration, count</t>
  </si>
  <si>
    <t>S-27: API Key &amp; Developer Portal</t>
  </si>
  <si>
    <t>Create key → Test endpoint → Revoke</t>
  </si>
  <si>
    <t>API key management loads</t>
  </si>
  <si>
    <t>Create Key: name 'Test Key', tier 'partner', optional IPs</t>
  </si>
  <si>
    <t>Key shown ONCE — copy it</t>
  </si>
  <si>
    <t>Verify key in list (masked rav_...)</t>
  </si>
  <si>
    <t>Key listed with date, tier</t>
  </si>
  <si>
    <t>Swagger UI loads</t>
  </si>
  <si>
    <t>Test API: GET /api/listings with key header</t>
  </si>
  <si>
    <t>Returns JSON, rate limit headers</t>
  </si>
  <si>
    <t>Revoke key → confirm AlertDialog</t>
  </si>
  <si>
    <t>Key revoked</t>
  </si>
  <si>
    <t>Test same API call with revoked key</t>
  </si>
  <si>
    <t>401 Unauthorized</t>
  </si>
  <si>
    <t>S-28: iCal Export &amp; Calendar Integration</t>
  </si>
  <si>
    <t>Export bookings → Verify ICS file</t>
  </si>
  <si>
    <t>Booking list visible</t>
  </si>
  <si>
    <t>Click Export Calendar</t>
  </si>
  <si>
    <t>ICS file downloads</t>
  </si>
  <si>
    <t>Open ICS in text editor</t>
  </si>
  <si>
    <t>Local</t>
  </si>
  <si>
    <t>Valid iCal: BEGIN:VCALENDAR, events</t>
  </si>
  <si>
    <t>Verify dates match bookings, property names correct</t>
  </si>
  <si>
    <t>Data accurate</t>
  </si>
  <si>
    <t>S-29: GDPR Data Export &amp; Deletion</t>
  </si>
  <si>
    <t>Request export → Deletion → Grace period</t>
  </si>
  <si>
    <t>Renter 50</t>
  </si>
  <si>
    <t>Log in → /account</t>
  </si>
  <si>
    <t>/account</t>
  </si>
  <si>
    <t>Account settings loads</t>
  </si>
  <si>
    <t>Click Export My Data</t>
  </si>
  <si>
    <t>Data export (JSON/download)</t>
  </si>
  <si>
    <t>Click Delete My Account</t>
  </si>
  <si>
    <t>Warning: 14-day grace, irreversible</t>
  </si>
  <si>
    <t>Confirm deletion</t>
  </si>
  <si>
    <t>Account marked for deletion, logged out</t>
  </si>
  <si>
    <t>Try to log back in</t>
  </si>
  <si>
    <t>Grace period message or cancel option</t>
  </si>
  <si>
    <t>S-30: Complete Marketplace Cycle</t>
  </si>
  <si>
    <t>Full lifecycle: list → bid → book → confirm → review → payout</t>
  </si>
  <si>
    <t>/list-property → Create listing: Hilton Las Vegas, 2BR, 7 nights, $250/night, Open for Bidding</t>
  </si>
  <si>
    <t>Submitted, Pending Approval</t>
  </si>
  <si>
    <t>/admin?tab=listings → Approve Owner 1's listing</t>
  </si>
  <si>
    <t>/rentals → search Las Vegas → find new listing</t>
  </si>
  <si>
    <t>Listing with bidding badge</t>
  </si>
  <si>
    <t>Ask the Owner: 'Is parking included?'</t>
  </si>
  <si>
    <t>Inquiry sent</t>
  </si>
  <si>
    <t>Check notification → reply: 'Yes, free parking!'</t>
  </si>
  <si>
    <t>View reply → Place Bid at $1,500</t>
  </si>
  <si>
    <t>Bid submitted</t>
  </si>
  <si>
    <t>BidsManagerDialog → counter at $1,750</t>
  </si>
  <si>
    <t>Counter sent</t>
  </si>
  <si>
    <t>Accept counter in My Trips</t>
  </si>
  <si>
    <t>Redirected to /checkout at $1,750</t>
  </si>
  <si>
    <t>Pay with Stripe test card</t>
  </si>
  <si>
    <t>Booking: Payment ✅, Owner ⏳</t>
  </si>
  <si>
    <t>Confirm booking → RST confirmation number</t>
  </si>
  <si>
    <t>Booking confirmed</t>
  </si>
  <si>
    <t>/my-trips → Confirmed status</t>
  </si>
  <si>
    <t>Timeline updated</t>
  </si>
  <si>
    <t>/admin?tab=escrow → verify → release</t>
  </si>
  <si>
    <t>Escrow released</t>
  </si>
  <si>
    <t>Booking message: 'What time is check-in?'</t>
  </si>
  <si>
    <t>Reply: 'Check-in at 4pm'</t>
  </si>
  <si>
    <t>Realtime delivery</t>
  </si>
  <si>
    <t>Submit review: 5 stars, 'Amazing!'</t>
  </si>
  <si>
    <t>Review submitted</t>
  </si>
  <si>
    <t>Check earnings: $1,750 - 13% = $1,522.50</t>
  </si>
  <si>
    <t>/admin?tab=payouts → verify → initiate payout</t>
  </si>
  <si>
    <t>Payout processed</t>
  </si>
  <si>
    <t>Verify payout status: Paid</t>
  </si>
  <si>
    <t>Payout: Paid</t>
  </si>
  <si>
    <t>Test Account Reference</t>
  </si>
  <si>
    <t>Universal Password: SeedTest2026!</t>
  </si>
  <si>
    <t>RAV TEAM ACCOUNTS</t>
  </si>
  <si>
    <t>Alias</t>
  </si>
  <si>
    <t>Email</t>
  </si>
  <si>
    <t>Role</t>
  </si>
  <si>
    <t>Access</t>
  </si>
  <si>
    <t>Stripe ID</t>
  </si>
  <si>
    <t>dev-owner@rent-a-vacation.com</t>
  </si>
  <si>
    <t>rav_owner</t>
  </si>
  <si>
    <t>Full admin (all 19 tabs)</t>
  </si>
  <si>
    <t>Platform owner</t>
  </si>
  <si>
    <t>dev-admin@rent-a-vacation.com</t>
  </si>
  <si>
    <t>rav_admin</t>
  </si>
  <si>
    <t>Admin (all 19 tabs)</t>
  </si>
  <si>
    <t>Admin operations</t>
  </si>
  <si>
    <t>RAV Staff</t>
  </si>
  <si>
    <t>dev-staff@rent-a-vacation.com</t>
  </si>
  <si>
    <t>rav_staff</t>
  </si>
  <si>
    <t>Staff (10 operational tabs)</t>
  </si>
  <si>
    <t>Operational only</t>
  </si>
  <si>
    <t>PROPERTY OWNER ACCOUNTS</t>
  </si>
  <si>
    <t>owner1@rent-a-vacation.com</t>
  </si>
  <si>
    <t>property_owner</t>
  </si>
  <si>
    <t>Owner dashboard, 10 listings</t>
  </si>
  <si>
    <t>Pro</t>
  </si>
  <si>
    <t>Alex Rivera, Hilton</t>
  </si>
  <si>
    <t>cus_test_owner1_pro</t>
  </si>
  <si>
    <t>owner2@rent-a-vacation.com</t>
  </si>
  <si>
    <t>Owner dashboard, 25 listings</t>
  </si>
  <si>
    <t>Business</t>
  </si>
  <si>
    <t>Maria Chen, Marriott</t>
  </si>
  <si>
    <t>cus_test_owner2_biz</t>
  </si>
  <si>
    <t>owner3@rent-a-vacation.com</t>
  </si>
  <si>
    <t>Owner dashboard, 3 listings</t>
  </si>
  <si>
    <t>Free</t>
  </si>
  <si>
    <t>James Thompson, Disney</t>
  </si>
  <si>
    <t>Owner 4</t>
  </si>
  <si>
    <t>owner4@rent-a-vacation.com</t>
  </si>
  <si>
    <t>Priya Patel, Wyndham</t>
  </si>
  <si>
    <t>Owner 5</t>
  </si>
  <si>
    <t>owner5@rent-a-vacation.com</t>
  </si>
  <si>
    <t>Robert Kim, Bluegreen</t>
  </si>
  <si>
    <t>KEY RENTER ACCOUNTS</t>
  </si>
  <si>
    <t>renter001@rent-a-vacation.com</t>
  </si>
  <si>
    <t>renter</t>
  </si>
  <si>
    <t>Marketplace + My Trips</t>
  </si>
  <si>
    <t>Plus</t>
  </si>
  <si>
    <t>Sophia Martinez</t>
  </si>
  <si>
    <t>cus_test_renter1_plus</t>
  </si>
  <si>
    <t>renter002@rent-a-vacation.com</t>
  </si>
  <si>
    <t>Liam Johnson</t>
  </si>
  <si>
    <t>cus_test_renter2_plus</t>
  </si>
  <si>
    <t>renter003@rent-a-vacation.com</t>
  </si>
  <si>
    <t>Premium</t>
  </si>
  <si>
    <t>Olivia Williams</t>
  </si>
  <si>
    <t>cus_test_renter3_prem</t>
  </si>
  <si>
    <t>renter004@rent-a-vacation.com</t>
  </si>
  <si>
    <t>renter050@rent-a-vacation.com</t>
  </si>
  <si>
    <t>Expendable (GDPR test)</t>
  </si>
  <si>
    <t>STRIPE TEST CARDS</t>
  </si>
  <si>
    <t>Card Number</t>
  </si>
  <si>
    <t>CVC</t>
  </si>
  <si>
    <t>Expiry</t>
  </si>
  <si>
    <t>ZIP</t>
  </si>
  <si>
    <t>Expected</t>
  </si>
  <si>
    <t>Used In</t>
  </si>
  <si>
    <t>Success (default)</t>
  </si>
  <si>
    <t>4242 4242 4242 4242</t>
  </si>
  <si>
    <t>123</t>
  </si>
  <si>
    <t>12/28</t>
  </si>
  <si>
    <t>32256</t>
  </si>
  <si>
    <t>Payment completes</t>
  </si>
  <si>
    <t>S-04, S-05, S-06, S-30</t>
  </si>
  <si>
    <t>Visa debit</t>
  </si>
  <si>
    <t>4000 0566 5566 5556</t>
  </si>
  <si>
    <t>Insufficient funds</t>
  </si>
  <si>
    <t>4000 0000 0000 9995</t>
  </si>
  <si>
    <t>Decline: insufficient</t>
  </si>
  <si>
    <t>Generic decline</t>
  </si>
  <si>
    <t>4000 0000 0000 0002</t>
  </si>
  <si>
    <t>Decline: generic</t>
  </si>
  <si>
    <t>Expired card</t>
  </si>
  <si>
    <t>4000 0000 0000 0069</t>
  </si>
  <si>
    <t>Decline: expired</t>
  </si>
  <si>
    <t>3D Secure (pass)</t>
  </si>
  <si>
    <t>4000 0027 6000 3184</t>
  </si>
  <si>
    <t>3DS popup → success</t>
  </si>
  <si>
    <t>3D Secure (fail)</t>
  </si>
  <si>
    <t>4000 0084 0000 1629</t>
  </si>
  <si>
    <t>3DS popup → decline</t>
  </si>
  <si>
    <t>ENVIRONMENT</t>
  </si>
  <si>
    <t>DEV URL</t>
  </si>
  <si>
    <t>https://dev.rent-a-vacation.com</t>
  </si>
  <si>
    <t>PROD URL</t>
  </si>
  <si>
    <t>https://rent-a-vacation.com (DO NOT TEST)</t>
  </si>
  <si>
    <t>Stripe Dashboard</t>
  </si>
  <si>
    <t>https://dashboard.stripe.com (toggle Test mode)</t>
  </si>
  <si>
    <t>GitHub Issues</t>
  </si>
  <si>
    <t>https://github.com/rent-a-vacation/rav-website/issues</t>
  </si>
  <si>
    <t>Supabase DEV</t>
  </si>
  <si>
    <t>oukbxqnlxnkainnligfz</t>
  </si>
  <si>
    <t>Reseed Command</t>
  </si>
  <si>
    <t>Admin → Dev Tools → Reset &amp; Reseed DEV</t>
  </si>
  <si>
    <t>Feature Coverage Matrix</t>
  </si>
  <si>
    <t>Feature Area</t>
  </si>
  <si>
    <t>Scenarios Covering It</t>
  </si>
  <si>
    <t># Scenarios</t>
  </si>
  <si>
    <t>Last Tested</t>
  </si>
  <si>
    <t>User Registration &amp; Approval</t>
  </si>
  <si>
    <t>S-01, S-15</t>
  </si>
  <si>
    <t>Role Upgrade &amp; Verification</t>
  </si>
  <si>
    <t>Property Listing (Create/Edit)</t>
  </si>
  <si>
    <t>S-03, S-21, S-24</t>
  </si>
  <si>
    <t>Direct Booking &amp; Payment</t>
  </si>
  <si>
    <t>S-04, S-19, S-30</t>
  </si>
  <si>
    <t>Bidding &amp; Counter-Offers</t>
  </si>
  <si>
    <t>S-05, S-30</t>
  </si>
  <si>
    <t>Travel Requests &amp; Proposals</t>
  </si>
  <si>
    <t>Date Proposals (Flexible)</t>
  </si>
  <si>
    <t>Pre-Booking Messaging</t>
  </si>
  <si>
    <t>Booking Messaging (Realtime)</t>
  </si>
  <si>
    <t>S-08, S-30</t>
  </si>
  <si>
    <t>Renter Cancellation</t>
  </si>
  <si>
    <t>Owner Cancellation</t>
  </si>
  <si>
    <t>Disputes &amp; Evidence</t>
  </si>
  <si>
    <t>Owner Earnings &amp; Payouts</t>
  </si>
  <si>
    <t>S-12, S-30</t>
  </si>
  <si>
    <t>Membership Upgrade (Owner)</t>
  </si>
  <si>
    <t>S-13, S-21</t>
  </si>
  <si>
    <t>Membership Upgrade (Renter)</t>
  </si>
  <si>
    <t>Referral Program</t>
  </si>
  <si>
    <t>Search, Filter, Sort</t>
  </si>
  <si>
    <t>Compare Listings</t>
  </si>
  <si>
    <t>Saved Searches</t>
  </si>
  <si>
    <t>Destinations</t>
  </si>
  <si>
    <t>S-16, S-20</t>
  </si>
  <si>
    <t>Notifications &amp; Preferences</t>
  </si>
  <si>
    <t>Admin Operations (19 tabs)</t>
  </si>
  <si>
    <t>Admin Property Editing</t>
  </si>
  <si>
    <t>Admin Listing Editing</t>
  </si>
  <si>
    <t>Executive Dashboard</t>
  </si>
  <si>
    <t>Voice Search &amp; Quotas</t>
  </si>
  <si>
    <t>API Keys &amp; Developer Portal</t>
  </si>
  <si>
    <t>iCal Export</t>
  </si>
  <si>
    <t>GDPR Export &amp; Deletion</t>
  </si>
  <si>
    <t>RAV Smart Tools (5 tools)</t>
  </si>
  <si>
    <t>Public Pages &amp; Route Guards</t>
  </si>
  <si>
    <t>Staff Role Boundaries</t>
  </si>
  <si>
    <t>S-18, S-25</t>
  </si>
  <si>
    <t>Owner Confirmation Window</t>
  </si>
  <si>
    <t>S-04, S-30</t>
  </si>
  <si>
    <t>Escrow Management</t>
  </si>
  <si>
    <t>S-04, S-12, S-30</t>
  </si>
  <si>
    <t>Full Marketplace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</si>
</sst>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8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sz val="14"/>
      <color rgb="FFB3DDD3"/>
      <name val="Calibri"/>
    </font>
    <font>
      <sz val="10"/>
      <color rgb="FFB3DDD3"/>
      <name val="Calibri"/>
    </font>
    <font>
      <b/>
      <sz val="13"/>
      <color rgb="FF0D6B5C"/>
      <name val="Calibri"/>
    </font>
    <font>
      <sz val="10"/>
      <color rgb="FF6C757D"/>
      <name val="Calibri"/>
    </font>
    <font>
      <b/>
      <sz val="28"/>
      <color rgb="FF0D6B5C"/>
      <name val="Calibri"/>
    </font>
    <font>
      <b/>
      <sz val="28"/>
      <color rgb="FF16A34A"/>
      <name val="Calibri"/>
    </font>
    <font>
      <b/>
      <sz val="28"/>
      <color rgb="FFDC2626"/>
      <name val="Calibri"/>
    </font>
    <font>
      <b/>
      <sz val="28"/>
      <color rgb="FFF59E0B"/>
      <name val="Calibri"/>
    </font>
    <font>
      <b/>
      <sz val="28"/>
      <color rgb="FF6C757D"/>
      <name val="Calibri"/>
    </font>
    <font>
      <b/>
      <sz val="28"/>
      <color rgb="FF2563EB"/>
      <name val="Calibri"/>
    </font>
    <font>
      <b/>
      <sz val="28"/>
      <color rgb="FF1A1A2E"/>
      <name val="Calibri"/>
    </font>
    <font>
      <b/>
      <sz val="9"/>
      <color rgb="FF6C757D"/>
      <name val="Calibri"/>
    </font>
    <font>
      <sz val="9"/>
      <color rgb="FF6C757D"/>
      <name val="Calibri"/>
    </font>
    <font>
      <b/>
      <sz val="11"/>
      <color rgb="FFFFFFFF"/>
      <name val="Calibri"/>
    </font>
    <font>
      <b/>
      <sz val="11"/>
      <color rgb="FF1A1A2E"/>
      <name val="Calibri"/>
    </font>
    <font>
      <sz val="11"/>
      <color rgb="FF16A34A"/>
      <name val="Calibri"/>
    </font>
    <font>
      <sz val="11"/>
      <color rgb="FFDC2626"/>
      <name val="Calibri"/>
    </font>
    <font>
      <sz val="11"/>
      <color rgb="FFF59E0B"/>
      <name val="Calibri"/>
    </font>
    <font>
      <b/>
      <sz val="11"/>
      <color rgb="FF0D6B5C"/>
      <name val="Calibri"/>
    </font>
    <font>
      <b/>
      <sz val="10"/>
      <color rgb="FF1A1A2E"/>
      <name val="Calibri"/>
    </font>
    <font>
      <sz val="1"/>
      <color rgb="FFFFFFFF"/>
      <name val="Calibri"/>
    </font>
    <font>
      <sz val="11"/>
      <color rgb="FF1A1A2E"/>
      <name val="Calibri"/>
    </font>
    <font>
      <b/>
      <sz val="16"/>
      <color rgb="FF0D6B5C"/>
      <name val="Calibri"/>
    </font>
    <font>
      <b/>
      <sz val="11"/>
      <name val="Calibri"/>
    </font>
    <font>
      <b/>
      <sz val="12"/>
      <name val="Calibri"/>
    </font>
    <font>
      <b/>
      <sz val="12"/>
      <color rgb="FF16A34A"/>
      <name val="Calibri"/>
    </font>
    <font>
      <b/>
      <sz val="12"/>
      <color rgb="FFDC2626"/>
      <name val="Calibri"/>
    </font>
    <font>
      <b/>
      <sz val="12"/>
      <color rgb="FFF59E0B"/>
      <name val="Calibri"/>
    </font>
    <font>
      <b/>
      <sz val="12"/>
      <color rgb="FF6C757D"/>
      <name val="Calibri"/>
    </font>
    <font>
      <b/>
      <sz val="16"/>
      <color rgb="FFFFFFFF"/>
      <name val="Calibri"/>
    </font>
    <font>
      <b/>
      <sz val="11"/>
      <color rgb="FF0D6B5C"/>
      <name val="Calibri"/>
    </font>
    <font>
      <sz val="14"/>
      <name val="Calibri"/>
    </font>
    <font>
      <b/>
      <sz val="12"/>
      <color rgb="FFFFFFFF"/>
      <name val="Calibri"/>
    </font>
    <font>
      <b/>
      <sz val="14"/>
      <name val="Calibri"/>
    </font>
    <font>
      <b/>
      <sz val="13"/>
      <color rgb="FFE86A4A"/>
      <name val="Calibri"/>
    </font>
    <font>
      <sz val="11"/>
      <color rgb="FF0D6B5C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D6B5C"/>
        <bgColor rgb="FF0D6B5C"/>
      </patternFill>
    </fill>
    <fill>
      <patternFill patternType="solid">
        <fgColor rgb="FFF8F9FA"/>
        <bgColor rgb="FFF8F9FA"/>
      </patternFill>
    </fill>
    <fill>
      <patternFill patternType="solid">
        <fgColor rgb="FFE6F2EF"/>
        <bgColor rgb="FFE6F2EF"/>
      </patternFill>
    </fill>
    <fill>
      <patternFill patternType="solid">
        <fgColor rgb="FF1A1A2E"/>
        <bgColor rgb="FF1A1A2E"/>
      </patternFill>
    </fill>
    <fill>
      <patternFill patternType="solid">
        <fgColor rgb="FF16A34A"/>
        <bgColor rgb="FF16A34A"/>
      </patternFill>
    </fill>
    <fill>
      <patternFill patternType="solid">
        <fgColor rgb="FF7C3AED"/>
        <bgColor rgb="FF7C3AED"/>
      </patternFill>
    </fill>
    <fill>
      <patternFill patternType="solid">
        <fgColor rgb="FF2563EB"/>
        <bgColor rgb="FF2563EB"/>
      </patternFill>
    </fill>
    <fill>
      <patternFill patternType="solid">
        <fgColor rgb="FFE86A4A"/>
        <bgColor rgb="FFE86A4A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</fills>
  <borders count="8">
    <border>
      <left/>
      <right/>
      <top/>
      <bottom/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/>
      <bottom/>
      <diagonal/>
    </border>
    <border>
      <left/>
      <right style="thin">
        <color rgb="FFDEE2E6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15" fillId="2" borderId="7" xfId="0" applyFont="1" applyFill="1" applyBorder="1" applyAlignment="1">
      <alignment horizontal="center" vertical="center" wrapText="1"/>
    </xf>
    <xf numFmtId="0" fontId="16" fillId="3" borderId="7" xfId="0" applyFont="1" applyFill="1" applyBorder="1"/>
    <xf numFmtId="0" fontId="0" fillId="3" borderId="7" xfId="0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9" fontId="20" fillId="3" borderId="7" xfId="0" applyNumberFormat="1" applyFont="1" applyFill="1" applyBorder="1" applyAlignment="1">
      <alignment horizontal="center" vertical="center" wrapText="1"/>
    </xf>
    <xf numFmtId="9" fontId="0" fillId="3" borderId="7" xfId="0" applyNumberFormat="1" applyFill="1" applyBorder="1" applyAlignment="1">
      <alignment horizontal="center" vertical="center" wrapText="1"/>
    </xf>
    <xf numFmtId="0" fontId="16" fillId="0" borderId="7" xfId="0" applyFont="1" applyBorder="1"/>
    <xf numFmtId="0" fontId="0" fillId="0" borderId="7" xfId="0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9" fontId="20" fillId="0" borderId="7" xfId="0" applyNumberFormat="1" applyFont="1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21" fillId="0" borderId="7" xfId="0" applyFont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vertical="center" wrapText="1"/>
    </xf>
    <xf numFmtId="0" fontId="22" fillId="0" borderId="0" xfId="0" applyFont="1"/>
    <xf numFmtId="9" fontId="23" fillId="3" borderId="7" xfId="0" applyNumberFormat="1" applyFont="1" applyFill="1" applyBorder="1" applyAlignment="1">
      <alignment horizontal="center" vertical="center" wrapText="1"/>
    </xf>
    <xf numFmtId="9" fontId="23" fillId="0" borderId="7" xfId="0" applyNumberFormat="1" applyFont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27" fillId="5" borderId="7" xfId="0" applyFont="1" applyFill="1" applyBorder="1" applyAlignment="1">
      <alignment horizontal="center" vertical="center" wrapText="1"/>
    </xf>
    <xf numFmtId="0" fontId="28" fillId="5" borderId="7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2" fillId="0" borderId="0" xfId="0" applyFont="1"/>
    <xf numFmtId="0" fontId="16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3" fillId="3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0" fillId="3" borderId="7" xfId="0" applyFill="1" applyBorder="1"/>
    <xf numFmtId="0" fontId="23" fillId="4" borderId="7" xfId="0" applyFont="1" applyFill="1" applyBorder="1" applyAlignment="1">
      <alignment vertical="center" wrapText="1"/>
    </xf>
    <xf numFmtId="0" fontId="32" fillId="0" borderId="7" xfId="0" applyFont="1" applyBorder="1"/>
    <xf numFmtId="0" fontId="23" fillId="0" borderId="7" xfId="0" applyFont="1" applyBorder="1"/>
    <xf numFmtId="0" fontId="23" fillId="3" borderId="7" xfId="0" applyFont="1" applyFill="1" applyBorder="1"/>
    <xf numFmtId="0" fontId="37" fillId="3" borderId="7" xfId="0" applyFont="1" applyFill="1" applyBorder="1"/>
    <xf numFmtId="164" fontId="23" fillId="3" borderId="7" xfId="0" applyNumberFormat="1" applyFont="1" applyFill="1" applyBorder="1" applyAlignment="1">
      <alignment horizontal="center" vertical="center" wrapText="1"/>
    </xf>
    <xf numFmtId="0" fontId="37" fillId="0" borderId="7" xfId="0" applyFont="1" applyBorder="1"/>
    <xf numFmtId="164" fontId="23" fillId="0" borderId="7" xfId="0" applyNumberFormat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0" fillId="0" borderId="4" xfId="0" applyBorder="1"/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3" fillId="0" borderId="0" xfId="0" applyFont="1" applyAlignment="1">
      <alignment vertical="center" wrapText="1"/>
    </xf>
    <xf numFmtId="1" fontId="10" fillId="3" borderId="5" xfId="0" applyNumberFormat="1" applyFont="1" applyFill="1" applyBorder="1" applyAlignment="1">
      <alignment horizontal="center"/>
    </xf>
    <xf numFmtId="0" fontId="0" fillId="0" borderId="6" xfId="0" applyBorder="1"/>
    <xf numFmtId="9" fontId="11" fillId="3" borderId="5" xfId="0" applyNumberFormat="1" applyFont="1" applyFill="1" applyBorder="1" applyAlignment="1">
      <alignment horizontal="center"/>
    </xf>
    <xf numFmtId="1" fontId="6" fillId="3" borderId="5" xfId="0" applyNumberFormat="1" applyFont="1" applyFill="1" applyBorder="1" applyAlignment="1">
      <alignment horizontal="center"/>
    </xf>
    <xf numFmtId="1" fontId="8" fillId="3" borderId="5" xfId="0" applyNumberFormat="1" applyFont="1" applyFill="1" applyBorder="1" applyAlignment="1">
      <alignment horizontal="center"/>
    </xf>
    <xf numFmtId="9" fontId="6" fillId="3" borderId="5" xfId="0" applyNumberFormat="1" applyFont="1" applyFill="1" applyBorder="1" applyAlignment="1">
      <alignment horizontal="center"/>
    </xf>
    <xf numFmtId="1" fontId="7" fillId="3" borderId="5" xfId="0" applyNumberFormat="1" applyFont="1" applyFill="1" applyBorder="1" applyAlignment="1">
      <alignment horizontal="center"/>
    </xf>
    <xf numFmtId="1" fontId="12" fillId="3" borderId="5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1" fontId="9" fillId="3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34" fillId="5" borderId="7" xfId="0" applyFont="1" applyFill="1" applyBorder="1" applyAlignment="1">
      <alignment horizontal="right" vertical="center"/>
    </xf>
    <xf numFmtId="0" fontId="0" fillId="5" borderId="7" xfId="0" applyFill="1" applyBorder="1"/>
    <xf numFmtId="0" fontId="23" fillId="0" borderId="0" xfId="0" applyFont="1"/>
    <xf numFmtId="0" fontId="31" fillId="6" borderId="0" xfId="0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23" fillId="0" borderId="7" xfId="0" applyFont="1" applyBorder="1"/>
    <xf numFmtId="0" fontId="36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5" borderId="7" xfId="0" applyFill="1" applyBorder="1" applyAlignment="1">
      <alignment vertical="center"/>
    </xf>
  </cellXfs>
  <cellStyles count="1">
    <cellStyle name="Normal" xfId="0" builtinId="0"/>
  </cellStyles>
  <dxfs count="256"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  <dxf>
      <font>
        <color rgb="FF6C757D"/>
      </font>
      <fill>
        <patternFill patternType="solid">
          <fgColor rgb="FFF8F9FA"/>
          <bgColor rgb="FFF8F9FA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ont>
        <b/>
        <color rgb="FF16A34A"/>
      </font>
      <fill>
        <patternFill patternType="solid">
          <fgColor rgb="FFDCFCE7"/>
          <bgColor rgb="FFDCFCE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F59E0B"/>
      </font>
      <fill>
        <patternFill patternType="solid">
          <fgColor rgb="FFFEF3C7"/>
          <bgColor rgb="FFFEF3C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sz val="10"/>
        <color rgb="FF6C757D"/>
      </font>
      <fill>
        <patternFill patternType="solid">
          <fgColor rgb="FFF8F9FA"/>
          <bgColor rgb="FFF8F9FA"/>
        </patternFill>
      </fill>
    </dxf>
    <dxf>
      <font>
        <b/>
        <sz val="10"/>
        <color rgb="FFF59E0B"/>
      </font>
      <fill>
        <patternFill patternType="solid">
          <fgColor rgb="FFFEF3C7"/>
          <bgColor rgb="FFFEF3C7"/>
        </patternFill>
      </fill>
    </dxf>
    <dxf>
      <font>
        <b/>
        <sz val="10"/>
        <color rgb="FFDC2626"/>
      </font>
      <fill>
        <patternFill patternType="solid">
          <fgColor rgb="FFFEE2E2"/>
          <bgColor rgb="FFFEE2E2"/>
        </patternFill>
      </fill>
    </dxf>
    <dxf>
      <font>
        <b/>
        <sz val="10"/>
        <color rgb="FF16A34A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Status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7644954224981587E-2"/>
          <c:y val="2.014098690835851E-2"/>
          <c:w val="0.80630678031498826"/>
          <c:h val="0.91137965760322259"/>
        </c:manualLayout>
      </c:layout>
      <c:pieChart>
        <c:varyColors val="1"/>
        <c:ser>
          <c:idx val="0"/>
          <c:order val="0"/>
          <c:tx>
            <c:strRef>
              <c:f>Dashboard!$C$50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explosion val="4"/>
          <c:dPt>
            <c:idx val="0"/>
            <c:bubble3D val="0"/>
            <c:spPr>
              <a:solidFill>
                <a:srgbClr val="16A34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E5-4B4C-B97F-D46E3CA7EB6F}"/>
              </c:ext>
            </c:extLst>
          </c:dPt>
          <c:dPt>
            <c:idx val="1"/>
            <c:bubble3D val="0"/>
            <c:spPr>
              <a:solidFill>
                <a:srgbClr val="DC262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E5-4B4C-B97F-D46E3CA7EB6F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E5-4B4C-B97F-D46E3CA7EB6F}"/>
              </c:ext>
            </c:extLst>
          </c:dPt>
          <c:dPt>
            <c:idx val="3"/>
            <c:bubble3D val="0"/>
            <c:spPr>
              <a:solidFill>
                <a:srgbClr val="6C757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E5-4B4C-B97F-D46E3CA7EB6F}"/>
              </c:ext>
            </c:extLst>
          </c:dPt>
          <c:dPt>
            <c:idx val="4"/>
            <c:bubble3D val="0"/>
            <c:spPr>
              <a:solidFill>
                <a:srgbClr val="DEE2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E5-4B4C-B97F-D46E3CA7EB6F}"/>
              </c:ext>
            </c:extLst>
          </c:dPt>
          <c:cat>
            <c:strRef>
              <c:f>Dashboard!$B$51:$B$55</c:f>
              <c:strCache>
                <c:ptCount val="5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Skipped</c:v>
                </c:pt>
                <c:pt idx="4">
                  <c:v>Not Run</c:v>
                </c:pt>
              </c:strCache>
            </c:strRef>
          </c:cat>
          <c:val>
            <c:numRef>
              <c:f>Dashboard!$C$51:$C$55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E5-4B4C-B97F-D46E3CA7E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5.3853429172827566E-2"/>
          <c:y val="0.91133371573586419"/>
          <c:w val="0.89999996965696283"/>
          <c:h val="7.9836262189080673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Run History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818180950521498E-2"/>
          <c:y val="0.11788617886178862"/>
          <c:w val="0.7329037861470824"/>
          <c:h val="0.81743774406248004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Dashboard!$C$68</c:f>
              <c:strCache>
                <c:ptCount val="1"/>
                <c:pt idx="0">
                  <c:v>Scenario</c:v>
                </c:pt>
              </c:strCache>
            </c:strRef>
          </c:tx>
          <c:spPr>
            <a:solidFill>
              <a:srgbClr val="16A34A"/>
            </a:solidFill>
            <a:ln>
              <a:prstDash val="solid"/>
            </a:ln>
          </c:spPr>
          <c:invertIfNegative val="1"/>
          <c:val>
            <c:numRef>
              <c:f>Dashboard!$C$69:$C$78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CA1-4C33-99B6-6F58F4D173EC}"/>
            </c:ext>
          </c:extLst>
        </c:ser>
        <c:ser>
          <c:idx val="1"/>
          <c:order val="1"/>
          <c:tx>
            <c:strRef>
              <c:f>Dashboard!$D$68</c:f>
              <c:strCache>
                <c:ptCount val="1"/>
                <c:pt idx="0">
                  <c:v>Step</c:v>
                </c:pt>
              </c:strCache>
            </c:strRef>
          </c:tx>
          <c:spPr>
            <a:solidFill>
              <a:srgbClr val="DC2626"/>
            </a:solidFill>
            <a:ln>
              <a:prstDash val="solid"/>
            </a:ln>
          </c:spPr>
          <c:invertIfNegative val="1"/>
          <c:val>
            <c:numRef>
              <c:f>Dashboard!$D$69:$D$78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CA1-4C33-99B6-6F58F4D173EC}"/>
            </c:ext>
          </c:extLst>
        </c:ser>
        <c:ser>
          <c:idx val="2"/>
          <c:order val="2"/>
          <c:tx>
            <c:strRef>
              <c:f>Dashboard!$E$68</c:f>
              <c:strCache>
                <c:ptCount val="1"/>
                <c:pt idx="0">
                  <c:v>Severity</c:v>
                </c:pt>
              </c:strCache>
            </c:strRef>
          </c:tx>
          <c:spPr>
            <a:solidFill>
              <a:srgbClr val="F59E0B"/>
            </a:solidFill>
            <a:ln>
              <a:prstDash val="solid"/>
            </a:ln>
          </c:spPr>
          <c:invertIfNegative val="1"/>
          <c:val>
            <c:numRef>
              <c:f>Dashboard!$E$69:$E$78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CA1-4C33-99B6-6F58F4D17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Run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Scenarios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Results by Tier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1106352848569351E-2"/>
          <c:y val="0.13145539906103287"/>
          <c:w val="0.76017954848883185"/>
          <c:h val="0.8169014084507042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Dashboard!$C$58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16A34A"/>
            </a:solidFill>
            <a:ln>
              <a:prstDash val="solid"/>
            </a:ln>
          </c:spPr>
          <c:invertIfNegative val="1"/>
          <c:val>
            <c:numRef>
              <c:f>Dashboard!$C$59:$C$65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20-4301-B88F-BF0189FB6F64}"/>
            </c:ext>
          </c:extLst>
        </c:ser>
        <c:ser>
          <c:idx val="1"/>
          <c:order val="1"/>
          <c:tx>
            <c:strRef>
              <c:f>Dashboard!$D$58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DC2626"/>
            </a:solidFill>
            <a:ln>
              <a:prstDash val="solid"/>
            </a:ln>
          </c:spPr>
          <c:invertIfNegative val="1"/>
          <c:val>
            <c:numRef>
              <c:f>Dashboard!$D$59:$D$65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520-4301-B88F-BF0189FB6F64}"/>
            </c:ext>
          </c:extLst>
        </c:ser>
        <c:ser>
          <c:idx val="2"/>
          <c:order val="2"/>
          <c:tx>
            <c:strRef>
              <c:f>Dashboard!$E$58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59E0B"/>
            </a:solidFill>
            <a:ln>
              <a:prstDash val="solid"/>
            </a:ln>
          </c:spPr>
          <c:invertIfNegative val="1"/>
          <c:val>
            <c:numRef>
              <c:f>Dashboard!$E$59:$E$65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520-4301-B88F-BF0189FB6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Scenarios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38101</xdr:colOff>
      <xdr:row>15</xdr:row>
      <xdr:rowOff>1</xdr:rowOff>
    </xdr:from>
    <xdr:ext cx="3609974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504826</xdr:colOff>
      <xdr:row>14</xdr:row>
      <xdr:rowOff>200025</xdr:rowOff>
    </xdr:from>
    <xdr:ext cx="4495800" cy="28860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1</xdr:colOff>
      <xdr:row>42</xdr:row>
      <xdr:rowOff>0</xdr:rowOff>
    </xdr:from>
    <xdr:ext cx="6219824" cy="26479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6B5C"/>
  </sheetPr>
  <dimension ref="A1:K104"/>
  <sheetViews>
    <sheetView showGridLines="0" tabSelected="1" workbookViewId="0">
      <selection activeCell="H49" sqref="H49"/>
    </sheetView>
  </sheetViews>
  <sheetFormatPr defaultRowHeight="15" x14ac:dyDescent="0.25"/>
  <cols>
    <col min="1" max="1" width="3" customWidth="1"/>
    <col min="2" max="2" width="20" customWidth="1"/>
    <col min="3" max="10" width="16" customWidth="1"/>
    <col min="11" max="11" width="3" customWidth="1"/>
  </cols>
  <sheetData>
    <row r="1" spans="1:11" ht="35.1" customHeight="1" x14ac:dyDescent="0.25">
      <c r="A1" s="1"/>
      <c r="B1" s="64" t="s">
        <v>0</v>
      </c>
      <c r="C1" s="63"/>
      <c r="D1" s="63"/>
      <c r="E1" s="63"/>
      <c r="F1" s="63"/>
      <c r="G1" s="63"/>
      <c r="H1" s="63"/>
      <c r="I1" s="63"/>
      <c r="J1" s="63"/>
      <c r="K1" s="1"/>
    </row>
    <row r="2" spans="1:11" ht="21.95" customHeight="1" x14ac:dyDescent="0.25">
      <c r="A2" s="1"/>
      <c r="B2" s="77" t="s">
        <v>1</v>
      </c>
      <c r="C2" s="63"/>
      <c r="D2" s="63"/>
      <c r="E2" s="63"/>
      <c r="F2" s="63"/>
      <c r="G2" s="63"/>
      <c r="H2" s="63"/>
      <c r="I2" s="63"/>
      <c r="J2" s="63"/>
      <c r="K2" s="1"/>
    </row>
    <row r="3" spans="1:11" ht="18" customHeight="1" x14ac:dyDescent="0.25">
      <c r="A3" s="1"/>
      <c r="B3" s="74" t="s">
        <v>2</v>
      </c>
      <c r="C3" s="63"/>
      <c r="D3" s="63"/>
      <c r="E3" s="63"/>
      <c r="F3" s="63"/>
      <c r="G3" s="63"/>
      <c r="H3" s="63"/>
      <c r="I3" s="63"/>
      <c r="J3" s="63"/>
      <c r="K3" s="1"/>
    </row>
    <row r="5" spans="1:11" ht="17.25" x14ac:dyDescent="0.3">
      <c r="B5" s="75" t="s">
        <v>3</v>
      </c>
      <c r="C5" s="63"/>
    </row>
    <row r="7" spans="1:11" x14ac:dyDescent="0.25">
      <c r="B7" s="60" t="s">
        <v>4</v>
      </c>
      <c r="C7" s="61"/>
      <c r="D7" s="60" t="s">
        <v>5</v>
      </c>
      <c r="E7" s="61"/>
      <c r="F7" s="60" t="s">
        <v>6</v>
      </c>
      <c r="G7" s="61"/>
      <c r="H7" s="60" t="s">
        <v>7</v>
      </c>
      <c r="I7" s="61"/>
    </row>
    <row r="8" spans="1:11" ht="36" x14ac:dyDescent="0.55000000000000004">
      <c r="B8" s="69">
        <f>COUNTIF(Summary!A3:A200,"S-*")</f>
        <v>30</v>
      </c>
      <c r="C8" s="67"/>
      <c r="D8" s="72">
        <f>Summary!B33</f>
        <v>0</v>
      </c>
      <c r="E8" s="67"/>
      <c r="F8" s="70">
        <f>Summary!C33</f>
        <v>0</v>
      </c>
      <c r="G8" s="67"/>
      <c r="H8" s="76">
        <f>Summary!D33</f>
        <v>0</v>
      </c>
      <c r="I8" s="67"/>
    </row>
    <row r="9" spans="1:11" x14ac:dyDescent="0.25">
      <c r="B9" s="2"/>
      <c r="C9" s="3"/>
      <c r="D9" s="2"/>
      <c r="E9" s="3"/>
      <c r="F9" s="2"/>
      <c r="G9" s="3"/>
      <c r="H9" s="2"/>
      <c r="I9" s="3"/>
    </row>
    <row r="10" spans="1:11" ht="8.1" customHeight="1" x14ac:dyDescent="0.25"/>
    <row r="11" spans="1:11" x14ac:dyDescent="0.25">
      <c r="B11" s="60" t="s">
        <v>8</v>
      </c>
      <c r="C11" s="61"/>
      <c r="D11" s="60" t="s">
        <v>9</v>
      </c>
      <c r="E11" s="61"/>
      <c r="F11" s="60" t="s">
        <v>10</v>
      </c>
      <c r="G11" s="61"/>
      <c r="H11" s="60" t="s">
        <v>11</v>
      </c>
      <c r="I11" s="61"/>
    </row>
    <row r="12" spans="1:11" ht="36" x14ac:dyDescent="0.55000000000000004">
      <c r="B12" s="66">
        <f>Summary!E33</f>
        <v>0</v>
      </c>
      <c r="C12" s="67"/>
      <c r="D12" s="71">
        <f>IF(Summary!B33+Summary!C33&gt;0,Summary!B33/(Summary!B33+Summary!C33),0)</f>
        <v>0</v>
      </c>
      <c r="E12" s="67"/>
      <c r="F12" s="68">
        <f>IF(COUNTIF(Summary!A3:A200,"S-*")&gt;0,COUNTIF(Summary!R3:R200,"&lt;&gt;")/COUNTIF(Summary!A3:A200,"S-*"),0)</f>
        <v>1</v>
      </c>
      <c r="G12" s="67"/>
      <c r="H12" s="73">
        <f>SUM(Summary!F3:F32)</f>
        <v>267</v>
      </c>
      <c r="I12" s="67"/>
    </row>
    <row r="13" spans="1:11" x14ac:dyDescent="0.25">
      <c r="B13" s="2"/>
      <c r="C13" s="3"/>
      <c r="D13" s="2"/>
      <c r="E13" s="3"/>
      <c r="F13" s="2"/>
      <c r="G13" s="3"/>
      <c r="H13" s="2"/>
      <c r="I13" s="3"/>
    </row>
    <row r="15" spans="1:11" ht="17.25" x14ac:dyDescent="0.3">
      <c r="B15" s="62" t="s">
        <v>12</v>
      </c>
      <c r="C15" s="63"/>
      <c r="D15" s="63"/>
      <c r="E15" s="63"/>
      <c r="F15" s="63"/>
      <c r="G15" s="63"/>
      <c r="H15" s="63"/>
      <c r="I15" s="63"/>
      <c r="J15" s="63"/>
    </row>
    <row r="32" spans="2:10" ht="17.25" x14ac:dyDescent="0.3">
      <c r="B32" s="62" t="s">
        <v>13</v>
      </c>
      <c r="C32" s="63"/>
      <c r="D32" s="63"/>
      <c r="E32" s="63"/>
      <c r="F32" s="63"/>
      <c r="G32" s="63"/>
      <c r="H32" s="63"/>
      <c r="I32" s="63"/>
      <c r="J32" s="63"/>
    </row>
    <row r="34" spans="2:8" x14ac:dyDescent="0.25">
      <c r="B34" s="4" t="s">
        <v>14</v>
      </c>
      <c r="C34" s="4" t="s">
        <v>15</v>
      </c>
      <c r="D34" s="4" t="s">
        <v>5</v>
      </c>
      <c r="E34" s="4" t="s">
        <v>6</v>
      </c>
      <c r="F34" s="4" t="s">
        <v>7</v>
      </c>
      <c r="G34" s="4" t="s">
        <v>9</v>
      </c>
      <c r="H34" s="4" t="s">
        <v>16</v>
      </c>
    </row>
    <row r="35" spans="2:8" x14ac:dyDescent="0.25">
      <c r="B35" s="5" t="s">
        <v>17</v>
      </c>
      <c r="C35" s="6">
        <v>4</v>
      </c>
      <c r="D35" s="7">
        <f>IF(Summary!R3="PASS",1,0)+IF(Summary!R5="PASS",1,0)+IF(Summary!R22="PASS",1,0)+IF(Summary!R24="PASS",1,0)</f>
        <v>0</v>
      </c>
      <c r="E35" s="8">
        <f>IF(Summary!R3="FAIL",1,0)+IF(Summary!R5="FAIL",1,0)+IF(Summary!R22="FAIL",1,0)+IF(Summary!R24="FAIL",1,0)</f>
        <v>0</v>
      </c>
      <c r="F35" s="9">
        <f>IF(Summary!R3="BLOCKED",1,0)+IF(Summary!R5="BLOCKED",1,0)+IF(Summary!R22="BLOCKED",1,0)+IF(Summary!R24="BLOCKED",1,0)</f>
        <v>0</v>
      </c>
      <c r="G35" s="10">
        <f t="shared" ref="G35:G41" si="0">IF(D35+E35&gt;0,D35/(D35+E35),0)</f>
        <v>0</v>
      </c>
      <c r="H35" s="11">
        <f t="shared" ref="H35:H41" si="1">G35</f>
        <v>0</v>
      </c>
    </row>
    <row r="36" spans="2:8" x14ac:dyDescent="0.25">
      <c r="B36" s="12" t="s">
        <v>18</v>
      </c>
      <c r="C36" s="13">
        <v>5</v>
      </c>
      <c r="D36" s="14">
        <f>IF(Summary!R6="PASS",1,0)+IF(Summary!R7="PASS",1,0)+IF(Summary!R8="PASS",1,0)+IF(Summary!R21="PASS",1,0)+IF(Summary!R25="PASS",1,0)</f>
        <v>0</v>
      </c>
      <c r="E36" s="15">
        <f>IF(Summary!R6="FAIL",1,0)+IF(Summary!R7="FAIL",1,0)+IF(Summary!R8="FAIL",1,0)+IF(Summary!R21="FAIL",1,0)+IF(Summary!R25="FAIL",1,0)</f>
        <v>0</v>
      </c>
      <c r="F36" s="16">
        <f>IF(Summary!R6="BLOCKED",1,0)+IF(Summary!R7="BLOCKED",1,0)+IF(Summary!R8="BLOCKED",1,0)+IF(Summary!R21="BLOCKED",1,0)+IF(Summary!R25="BLOCKED",1,0)</f>
        <v>0</v>
      </c>
      <c r="G36" s="17">
        <f t="shared" si="0"/>
        <v>0</v>
      </c>
      <c r="H36" s="18">
        <f t="shared" si="1"/>
        <v>0</v>
      </c>
    </row>
    <row r="37" spans="2:8" x14ac:dyDescent="0.25">
      <c r="B37" s="5" t="s">
        <v>19</v>
      </c>
      <c r="C37" s="6">
        <v>6</v>
      </c>
      <c r="D37" s="7">
        <f>IF(Summary!R9="PASS",1,0)+IF(Summary!R10="PASS",1,0)+IF(Summary!R11="PASS",1,0)+IF(Summary!R12="PASS",1,0)+IF(Summary!R13="PASS",1,0)+IF(Summary!R19="PASS",1,0)</f>
        <v>0</v>
      </c>
      <c r="E37" s="8">
        <f>IF(Summary!R9="FAIL",1,0)+IF(Summary!R10="FAIL",1,0)+IF(Summary!R11="FAIL",1,0)+IF(Summary!R12="FAIL",1,0)+IF(Summary!R13="FAIL",1,0)+IF(Summary!R19="FAIL",1,0)</f>
        <v>0</v>
      </c>
      <c r="F37" s="9">
        <f>IF(Summary!R9="BLOCKED",1,0)+IF(Summary!R10="BLOCKED",1,0)+IF(Summary!R11="BLOCKED",1,0)+IF(Summary!R12="BLOCKED",1,0)+IF(Summary!R13="BLOCKED",1,0)+IF(Summary!R19="BLOCKED",1,0)</f>
        <v>0</v>
      </c>
      <c r="G37" s="10">
        <f t="shared" si="0"/>
        <v>0</v>
      </c>
      <c r="H37" s="11">
        <f t="shared" si="1"/>
        <v>0</v>
      </c>
    </row>
    <row r="38" spans="2:8" x14ac:dyDescent="0.25">
      <c r="B38" s="12" t="s">
        <v>20</v>
      </c>
      <c r="C38" s="13">
        <v>5</v>
      </c>
      <c r="D38" s="14">
        <f>IF(Summary!R14="PASS",1,0)+IF(Summary!R15="PASS",1,0)+IF(Summary!R16="PASS",1,0)+IF(Summary!R17="PASS",1,0)+IF(Summary!R18="PASS",1,0)</f>
        <v>0</v>
      </c>
      <c r="E38" s="15">
        <f>IF(Summary!R14="FAIL",1,0)+IF(Summary!R15="FAIL",1,0)+IF(Summary!R16="FAIL",1,0)+IF(Summary!R17="FAIL",1,0)+IF(Summary!R18="FAIL",1,0)</f>
        <v>0</v>
      </c>
      <c r="F38" s="16">
        <f>IF(Summary!R14="BLOCKED",1,0)+IF(Summary!R15="BLOCKED",1,0)+IF(Summary!R16="BLOCKED",1,0)+IF(Summary!R17="BLOCKED",1,0)+IF(Summary!R18="BLOCKED",1,0)</f>
        <v>0</v>
      </c>
      <c r="G38" s="17">
        <f t="shared" si="0"/>
        <v>0</v>
      </c>
      <c r="H38" s="18">
        <f t="shared" si="1"/>
        <v>0</v>
      </c>
    </row>
    <row r="39" spans="2:8" x14ac:dyDescent="0.25">
      <c r="B39" s="5" t="s">
        <v>21</v>
      </c>
      <c r="C39" s="6">
        <v>7</v>
      </c>
      <c r="D39" s="7">
        <f>IF(Summary!R4="PASS",1,0)+IF(Summary!R20="PASS",1,0)+IF(Summary!R26="PASS",1,0)+IF(Summary!R27="PASS",1,0)+IF(Summary!R28="PASS",1,0)+IF(Summary!R29="PASS",1,0)+IF(Summary!R30="PASS",1,0)</f>
        <v>0</v>
      </c>
      <c r="E39" s="8">
        <f>IF(Summary!R4="FAIL",1,0)+IF(Summary!R20="FAIL",1,0)+IF(Summary!R26="FAIL",1,0)+IF(Summary!R27="FAIL",1,0)+IF(Summary!R28="FAIL",1,0)+IF(Summary!R29="FAIL",1,0)+IF(Summary!R30="FAIL",1,0)</f>
        <v>0</v>
      </c>
      <c r="F39" s="9">
        <f>IF(Summary!R4="BLOCKED",1,0)+IF(Summary!R20="BLOCKED",1,0)+IF(Summary!R26="BLOCKED",1,0)+IF(Summary!R27="BLOCKED",1,0)+IF(Summary!R28="BLOCKED",1,0)+IF(Summary!R29="BLOCKED",1,0)+IF(Summary!R30="BLOCKED",1,0)</f>
        <v>0</v>
      </c>
      <c r="G39" s="10">
        <f t="shared" si="0"/>
        <v>0</v>
      </c>
      <c r="H39" s="11">
        <f t="shared" si="1"/>
        <v>0</v>
      </c>
    </row>
    <row r="40" spans="2:8" x14ac:dyDescent="0.25">
      <c r="B40" s="12" t="s">
        <v>22</v>
      </c>
      <c r="C40" s="13">
        <v>2</v>
      </c>
      <c r="D40" s="14">
        <f>IF(Summary!R23="PASS",1,0)+IF(Summary!R31="PASS",1,0)</f>
        <v>0</v>
      </c>
      <c r="E40" s="15">
        <f>IF(Summary!R23="FAIL",1,0)+IF(Summary!R31="FAIL",1,0)</f>
        <v>0</v>
      </c>
      <c r="F40" s="16">
        <f>IF(Summary!R23="BLOCKED",1,0)+IF(Summary!R31="BLOCKED",1,0)</f>
        <v>0</v>
      </c>
      <c r="G40" s="17">
        <f t="shared" si="0"/>
        <v>0</v>
      </c>
      <c r="H40" s="18">
        <f t="shared" si="1"/>
        <v>0</v>
      </c>
    </row>
    <row r="41" spans="2:8" x14ac:dyDescent="0.25">
      <c r="B41" s="5" t="s">
        <v>23</v>
      </c>
      <c r="C41" s="6">
        <v>1</v>
      </c>
      <c r="D41" s="7">
        <f>IF(Summary!R32="PASS",1,0)</f>
        <v>0</v>
      </c>
      <c r="E41" s="8">
        <f>IF(Summary!R32="FAIL",1,0)</f>
        <v>0</v>
      </c>
      <c r="F41" s="9">
        <f>IF(Summary!R32="BLOCKED",1,0)</f>
        <v>0</v>
      </c>
      <c r="G41" s="10">
        <f t="shared" si="0"/>
        <v>0</v>
      </c>
      <c r="H41" s="11">
        <f t="shared" si="1"/>
        <v>0</v>
      </c>
    </row>
    <row r="50" spans="2:10" x14ac:dyDescent="0.25">
      <c r="B50" s="19" t="s">
        <v>24</v>
      </c>
      <c r="C50" s="19" t="s">
        <v>25</v>
      </c>
    </row>
    <row r="51" spans="2:10" x14ac:dyDescent="0.25">
      <c r="B51" s="20" t="s">
        <v>5</v>
      </c>
      <c r="C51" s="20">
        <f>Summary!B33</f>
        <v>0</v>
      </c>
    </row>
    <row r="52" spans="2:10" x14ac:dyDescent="0.25">
      <c r="B52" s="20" t="s">
        <v>6</v>
      </c>
      <c r="C52" s="20">
        <f>Summary!C33</f>
        <v>0</v>
      </c>
    </row>
    <row r="53" spans="2:10" x14ac:dyDescent="0.25">
      <c r="B53" s="20" t="s">
        <v>7</v>
      </c>
      <c r="C53" s="20">
        <f>Summary!D33</f>
        <v>0</v>
      </c>
    </row>
    <row r="54" spans="2:10" x14ac:dyDescent="0.25">
      <c r="B54" s="20" t="s">
        <v>8</v>
      </c>
      <c r="C54" s="20">
        <f>Summary!E33</f>
        <v>0</v>
      </c>
    </row>
    <row r="55" spans="2:10" x14ac:dyDescent="0.25">
      <c r="B55" s="20" t="s">
        <v>26</v>
      </c>
      <c r="C55" s="20">
        <f>COUNTIF(Summary!A3:A200,"S-*")-Summary!B33-Summary!C33-Summary!D33-Summary!E33</f>
        <v>30</v>
      </c>
    </row>
    <row r="58" spans="2:10" x14ac:dyDescent="0.25">
      <c r="B58" s="19" t="s">
        <v>14</v>
      </c>
      <c r="C58" s="19" t="s">
        <v>5</v>
      </c>
      <c r="D58" s="19" t="s">
        <v>6</v>
      </c>
      <c r="E58" s="19" t="s">
        <v>7</v>
      </c>
    </row>
    <row r="59" spans="2:10" x14ac:dyDescent="0.25">
      <c r="B59" s="20" t="s">
        <v>17</v>
      </c>
      <c r="C59" s="20">
        <f>D35</f>
        <v>0</v>
      </c>
      <c r="D59" s="20">
        <f>E35</f>
        <v>0</v>
      </c>
      <c r="E59" s="20">
        <f>F35</f>
        <v>0</v>
      </c>
    </row>
    <row r="60" spans="2:10" ht="17.25" x14ac:dyDescent="0.3">
      <c r="B60" s="62" t="s">
        <v>27</v>
      </c>
      <c r="C60" s="63"/>
      <c r="D60" s="63"/>
      <c r="E60" s="63"/>
      <c r="F60" s="63"/>
      <c r="G60" s="63"/>
      <c r="H60" s="63"/>
      <c r="I60" s="63"/>
      <c r="J60" s="63"/>
    </row>
    <row r="61" spans="2:10" ht="27.95" customHeight="1" x14ac:dyDescent="0.25">
      <c r="B61" s="21" t="str">
        <f>IF(Summary!R3&lt;&gt;"","S-01" &amp; CHAR(10) &amp; Summary!R3,"S-01")</f>
        <v>S-01</v>
      </c>
      <c r="C61" s="21" t="str">
        <f>IF(Summary!R4&lt;&gt;"","S-02" &amp; CHAR(10) &amp; Summary!R4,"S-02")</f>
        <v>S-02</v>
      </c>
      <c r="D61" s="21" t="str">
        <f>IF(Summary!R5&lt;&gt;"","S-03" &amp; CHAR(10) &amp; Summary!R5,"S-03")</f>
        <v>S-03</v>
      </c>
      <c r="E61" s="21" t="str">
        <f>IF(Summary!R6&lt;&gt;"","S-04" &amp; CHAR(10) &amp; Summary!R6,"S-04")</f>
        <v>S-04</v>
      </c>
      <c r="F61" s="21" t="str">
        <f>IF(Summary!R7&lt;&gt;"","S-05" &amp; CHAR(10) &amp; Summary!R7,"S-05")</f>
        <v>S-05</v>
      </c>
      <c r="G61" s="21" t="str">
        <f>IF(Summary!R8&lt;&gt;"","S-06" &amp; CHAR(10) &amp; Summary!R8,"S-06")</f>
        <v>S-06</v>
      </c>
    </row>
    <row r="62" spans="2:10" ht="27.95" customHeight="1" x14ac:dyDescent="0.25">
      <c r="B62" s="21" t="str">
        <f>IF(Summary!R9&lt;&gt;"","S-07" &amp; CHAR(10) &amp; Summary!R9,"S-07")</f>
        <v>S-07</v>
      </c>
      <c r="C62" s="21" t="str">
        <f>IF(Summary!R10&lt;&gt;"","S-08" &amp; CHAR(10) &amp; Summary!R10,"S-08")</f>
        <v>S-08</v>
      </c>
      <c r="D62" s="21" t="str">
        <f>IF(Summary!R11&lt;&gt;"","S-09" &amp; CHAR(10) &amp; Summary!R11,"S-09")</f>
        <v>S-09</v>
      </c>
      <c r="E62" s="21" t="str">
        <f>IF(Summary!R12&lt;&gt;"","S-10" &amp; CHAR(10) &amp; Summary!R12,"S-10")</f>
        <v>S-10</v>
      </c>
      <c r="F62" s="21" t="str">
        <f>IF(Summary!R13&lt;&gt;"","S-11" &amp; CHAR(10) &amp; Summary!R13,"S-11")</f>
        <v>S-11</v>
      </c>
      <c r="G62" s="21" t="str">
        <f>IF(Summary!R14&lt;&gt;"","S-12" &amp; CHAR(10) &amp; Summary!R14,"S-12")</f>
        <v>S-12</v>
      </c>
    </row>
    <row r="63" spans="2:10" ht="27.95" customHeight="1" x14ac:dyDescent="0.25">
      <c r="B63" s="21" t="str">
        <f>IF(Summary!R15&lt;&gt;"","S-13" &amp; CHAR(10) &amp; Summary!R15,"S-13")</f>
        <v>S-13</v>
      </c>
      <c r="C63" s="21" t="str">
        <f>IF(Summary!R16&lt;&gt;"","S-14" &amp; CHAR(10) &amp; Summary!R16,"S-14")</f>
        <v>S-14</v>
      </c>
      <c r="D63" s="21" t="str">
        <f>IF(Summary!R17&lt;&gt;"","S-15" &amp; CHAR(10) &amp; Summary!R17,"S-15")</f>
        <v>S-15</v>
      </c>
      <c r="E63" s="21" t="str">
        <f>IF(Summary!R18&lt;&gt;"","S-16" &amp; CHAR(10) &amp; Summary!R18,"S-16")</f>
        <v>S-16</v>
      </c>
      <c r="F63" s="21" t="str">
        <f>IF(Summary!R19&lt;&gt;"","S-17" &amp; CHAR(10) &amp; Summary!R19,"S-17")</f>
        <v>S-17</v>
      </c>
      <c r="G63" s="21" t="str">
        <f>IF(Summary!R20&lt;&gt;"","S-18" &amp; CHAR(10) &amp; Summary!R20,"S-18")</f>
        <v>S-18</v>
      </c>
    </row>
    <row r="64" spans="2:10" ht="27.95" customHeight="1" x14ac:dyDescent="0.25">
      <c r="B64" s="21" t="str">
        <f>IF(Summary!R21&lt;&gt;"","S-19" &amp; CHAR(10) &amp; Summary!R21,"S-19")</f>
        <v>S-19</v>
      </c>
      <c r="C64" s="21" t="str">
        <f>IF(Summary!R22&lt;&gt;"","S-20" &amp; CHAR(10) &amp; Summary!R22,"S-20")</f>
        <v>S-20</v>
      </c>
      <c r="D64" s="21" t="str">
        <f>IF(Summary!R23&lt;&gt;"","S-21" &amp; CHAR(10) &amp; Summary!R23,"S-21")</f>
        <v>S-21</v>
      </c>
      <c r="E64" s="21" t="str">
        <f>IF(Summary!R24&lt;&gt;"","S-22" &amp; CHAR(10) &amp; Summary!R24,"S-22")</f>
        <v>S-22</v>
      </c>
      <c r="F64" s="21" t="str">
        <f>IF(Summary!R25&lt;&gt;"","S-23" &amp; CHAR(10) &amp; Summary!R25,"S-23")</f>
        <v>S-23</v>
      </c>
      <c r="G64" s="21" t="str">
        <f>IF(Summary!R26&lt;&gt;"","S-24" &amp; CHAR(10) &amp; Summary!R26,"S-24")</f>
        <v>S-24</v>
      </c>
    </row>
    <row r="65" spans="1:10" ht="27.95" customHeight="1" x14ac:dyDescent="0.25">
      <c r="B65" s="21" t="str">
        <f>IF(Summary!R27&lt;&gt;"","S-25" &amp; CHAR(10) &amp; Summary!R27,"S-25")</f>
        <v>S-25</v>
      </c>
      <c r="C65" s="21" t="str">
        <f>IF(Summary!R28&lt;&gt;"","S-26" &amp; CHAR(10) &amp; Summary!R28,"S-26")</f>
        <v>S-26</v>
      </c>
      <c r="D65" s="21" t="str">
        <f>IF(Summary!R29&lt;&gt;"","S-27" &amp; CHAR(10) &amp; Summary!R29,"S-27")</f>
        <v>S-27</v>
      </c>
      <c r="E65" s="21" t="str">
        <f>IF(Summary!R30&lt;&gt;"","S-28" &amp; CHAR(10) &amp; Summary!R30,"S-28")</f>
        <v>S-28</v>
      </c>
      <c r="F65" s="21" t="str">
        <f>IF(Summary!R31&lt;&gt;"","S-29" &amp; CHAR(10) &amp; Summary!R31,"S-29")</f>
        <v>S-29</v>
      </c>
      <c r="G65" s="21" t="str">
        <f>IF(Summary!R32&lt;&gt;"","S-30" &amp; CHAR(10) &amp; Summary!R32,"S-30")</f>
        <v>S-30</v>
      </c>
    </row>
    <row r="67" spans="1:10" ht="17.25" x14ac:dyDescent="0.3">
      <c r="B67" s="62" t="s">
        <v>28</v>
      </c>
      <c r="C67" s="63"/>
      <c r="D67" s="63"/>
      <c r="E67" s="63"/>
      <c r="F67" s="63"/>
      <c r="G67" s="63"/>
      <c r="H67" s="63"/>
      <c r="I67" s="63"/>
      <c r="J67" s="63"/>
    </row>
    <row r="68" spans="1:10" x14ac:dyDescent="0.25">
      <c r="A68" s="4"/>
      <c r="B68" s="4" t="s">
        <v>29</v>
      </c>
      <c r="C68" s="4" t="s">
        <v>30</v>
      </c>
      <c r="D68" s="4" t="s">
        <v>31</v>
      </c>
      <c r="E68" s="4" t="s">
        <v>32</v>
      </c>
      <c r="F68" s="4" t="s">
        <v>33</v>
      </c>
      <c r="G68" s="4" t="s">
        <v>24</v>
      </c>
      <c r="H68" s="4" t="s">
        <v>34</v>
      </c>
      <c r="I68" s="4" t="s">
        <v>35</v>
      </c>
      <c r="J68" s="4" t="s">
        <v>36</v>
      </c>
    </row>
    <row r="69" spans="1:10" x14ac:dyDescent="0.25">
      <c r="B69" s="22">
        <v>1</v>
      </c>
      <c r="C69" s="22">
        <f>COUNTIF(Summary!H3:H32,"PASS")</f>
        <v>0</v>
      </c>
      <c r="D69" s="22">
        <f>COUNTIF(Summary!H3:H32,"FAIL")</f>
        <v>0</v>
      </c>
      <c r="E69" s="22">
        <f>COUNTIF(Summary!H3:H32,"BLOCKED")</f>
        <v>0</v>
      </c>
      <c r="F69" s="22"/>
      <c r="G69" s="22"/>
      <c r="H69" s="22"/>
      <c r="I69" s="22"/>
      <c r="J69" s="23"/>
    </row>
    <row r="70" spans="1:10" x14ac:dyDescent="0.25">
      <c r="B70" s="24">
        <v>2</v>
      </c>
      <c r="C70" s="24">
        <f>COUNTIF(Summary!I3:I32,"PASS")</f>
        <v>0</v>
      </c>
      <c r="D70" s="24">
        <f>COUNTIF(Summary!I3:I32,"FAIL")</f>
        <v>0</v>
      </c>
      <c r="E70" s="24">
        <f>COUNTIF(Summary!I3:I32,"BLOCKED")</f>
        <v>0</v>
      </c>
      <c r="F70" s="24"/>
      <c r="G70" s="24"/>
      <c r="H70" s="24"/>
      <c r="I70" s="24"/>
      <c r="J70" s="25"/>
    </row>
    <row r="71" spans="1:10" x14ac:dyDescent="0.25">
      <c r="B71" s="22">
        <v>3</v>
      </c>
      <c r="C71" s="22">
        <f>COUNTIF(Summary!J3:J32,"PASS")</f>
        <v>0</v>
      </c>
      <c r="D71" s="22">
        <f>COUNTIF(Summary!J3:J32,"FAIL")</f>
        <v>0</v>
      </c>
      <c r="E71" s="22">
        <f>COUNTIF(Summary!J3:J32,"BLOCKED")</f>
        <v>0</v>
      </c>
      <c r="F71" s="22"/>
      <c r="G71" s="22"/>
      <c r="H71" s="22"/>
      <c r="I71" s="22"/>
      <c r="J71" s="23"/>
    </row>
    <row r="72" spans="1:10" x14ac:dyDescent="0.25">
      <c r="B72" s="24">
        <v>4</v>
      </c>
      <c r="C72" s="24">
        <f>COUNTIF(Summary!K3:K32,"PASS")</f>
        <v>0</v>
      </c>
      <c r="D72" s="24">
        <f>COUNTIF(Summary!K3:K32,"FAIL")</f>
        <v>0</v>
      </c>
      <c r="E72" s="24">
        <f>COUNTIF(Summary!K3:K32,"BLOCKED")</f>
        <v>0</v>
      </c>
      <c r="F72" s="24"/>
      <c r="G72" s="24"/>
      <c r="H72" s="24"/>
      <c r="I72" s="24"/>
      <c r="J72" s="25"/>
    </row>
    <row r="73" spans="1:10" x14ac:dyDescent="0.25">
      <c r="B73" s="22">
        <v>5</v>
      </c>
      <c r="C73" s="22">
        <f>COUNTIF(Summary!L3:L32,"PASS")</f>
        <v>0</v>
      </c>
      <c r="D73" s="22">
        <f>COUNTIF(Summary!L3:L32,"FAIL")</f>
        <v>0</v>
      </c>
      <c r="E73" s="22">
        <f>COUNTIF(Summary!L3:L32,"BLOCKED")</f>
        <v>0</v>
      </c>
      <c r="F73" s="22"/>
      <c r="G73" s="22"/>
      <c r="H73" s="22"/>
      <c r="I73" s="22"/>
      <c r="J73" s="23"/>
    </row>
    <row r="74" spans="1:10" x14ac:dyDescent="0.25">
      <c r="B74" s="24">
        <v>6</v>
      </c>
      <c r="C74" s="24">
        <f>COUNTIF(Summary!M3:M32,"PASS")</f>
        <v>0</v>
      </c>
      <c r="D74" s="24">
        <f>COUNTIF(Summary!M3:M32,"FAIL")</f>
        <v>0</v>
      </c>
      <c r="E74" s="24">
        <f>COUNTIF(Summary!M3:M32,"BLOCKED")</f>
        <v>0</v>
      </c>
      <c r="F74" s="24"/>
      <c r="G74" s="24"/>
      <c r="H74" s="24"/>
      <c r="I74" s="24"/>
      <c r="J74" s="25"/>
    </row>
    <row r="75" spans="1:10" x14ac:dyDescent="0.25">
      <c r="B75" s="22">
        <v>7</v>
      </c>
      <c r="C75" s="22">
        <f>COUNTIF(Summary!N3:N32,"PASS")</f>
        <v>0</v>
      </c>
      <c r="D75" s="22">
        <f>COUNTIF(Summary!N3:N32,"FAIL")</f>
        <v>0</v>
      </c>
      <c r="E75" s="22">
        <f>COUNTIF(Summary!N3:N32,"BLOCKED")</f>
        <v>0</v>
      </c>
      <c r="F75" s="22"/>
      <c r="G75" s="22"/>
      <c r="H75" s="22"/>
      <c r="I75" s="22"/>
      <c r="J75" s="23"/>
    </row>
    <row r="76" spans="1:10" x14ac:dyDescent="0.25">
      <c r="B76" s="24">
        <v>8</v>
      </c>
      <c r="C76" s="24">
        <f>COUNTIF(Summary!O3:O32,"PASS")</f>
        <v>0</v>
      </c>
      <c r="D76" s="24">
        <f>COUNTIF(Summary!O3:O32,"FAIL")</f>
        <v>0</v>
      </c>
      <c r="E76" s="24">
        <f>COUNTIF(Summary!O3:O32,"BLOCKED")</f>
        <v>0</v>
      </c>
      <c r="F76" s="24"/>
      <c r="G76" s="24"/>
      <c r="H76" s="24"/>
      <c r="I76" s="24"/>
      <c r="J76" s="25"/>
    </row>
    <row r="77" spans="1:10" x14ac:dyDescent="0.25">
      <c r="B77" s="22">
        <v>9</v>
      </c>
      <c r="C77" s="22">
        <f>COUNTIF(Summary!P3:P32,"PASS")</f>
        <v>0</v>
      </c>
      <c r="D77" s="22">
        <f>COUNTIF(Summary!P3:P32,"FAIL")</f>
        <v>0</v>
      </c>
      <c r="E77" s="22">
        <f>COUNTIF(Summary!P3:P32,"BLOCKED")</f>
        <v>0</v>
      </c>
      <c r="F77" s="22"/>
      <c r="G77" s="22"/>
      <c r="H77" s="22"/>
      <c r="I77" s="22"/>
      <c r="J77" s="23"/>
    </row>
    <row r="78" spans="1:10" x14ac:dyDescent="0.25">
      <c r="B78" s="24">
        <v>10</v>
      </c>
      <c r="C78" s="24">
        <f>COUNTIF(Summary!Q3:Q32,"PASS")</f>
        <v>0</v>
      </c>
      <c r="D78" s="24">
        <f>COUNTIF(Summary!Q3:Q32,"FAIL")</f>
        <v>0</v>
      </c>
      <c r="E78" s="24">
        <f>COUNTIF(Summary!Q3:Q32,"BLOCKED")</f>
        <v>0</v>
      </c>
      <c r="F78" s="24"/>
      <c r="G78" s="24"/>
      <c r="H78" s="24"/>
      <c r="I78" s="24"/>
      <c r="J78" s="25"/>
    </row>
    <row r="79" spans="1:10" x14ac:dyDescent="0.25">
      <c r="B79" s="22">
        <v>11</v>
      </c>
      <c r="C79" s="22"/>
      <c r="D79" s="22"/>
      <c r="E79" s="22"/>
      <c r="F79" s="22"/>
      <c r="G79" s="22"/>
      <c r="H79" s="22"/>
      <c r="I79" s="22"/>
      <c r="J79" s="23"/>
    </row>
    <row r="80" spans="1:10" x14ac:dyDescent="0.25">
      <c r="B80" s="24">
        <v>12</v>
      </c>
      <c r="C80" s="24"/>
      <c r="D80" s="24"/>
      <c r="E80" s="24"/>
      <c r="F80" s="24"/>
      <c r="G80" s="24"/>
      <c r="H80" s="24"/>
      <c r="I80" s="24"/>
      <c r="J80" s="25"/>
    </row>
    <row r="81" spans="2:10" x14ac:dyDescent="0.25">
      <c r="B81" s="22">
        <v>13</v>
      </c>
      <c r="C81" s="22"/>
      <c r="D81" s="22"/>
      <c r="E81" s="22"/>
      <c r="F81" s="22"/>
      <c r="G81" s="22"/>
      <c r="H81" s="22"/>
      <c r="I81" s="22"/>
      <c r="J81" s="23"/>
    </row>
    <row r="82" spans="2:10" x14ac:dyDescent="0.25">
      <c r="B82" s="24">
        <v>14</v>
      </c>
      <c r="C82" s="24"/>
      <c r="D82" s="24"/>
      <c r="E82" s="24"/>
      <c r="F82" s="24"/>
      <c r="G82" s="24"/>
      <c r="H82" s="24"/>
      <c r="I82" s="24"/>
      <c r="J82" s="25"/>
    </row>
    <row r="83" spans="2:10" x14ac:dyDescent="0.25">
      <c r="B83" s="22">
        <v>15</v>
      </c>
      <c r="C83" s="22"/>
      <c r="D83" s="22"/>
      <c r="E83" s="22"/>
      <c r="F83" s="22"/>
      <c r="G83" s="22"/>
      <c r="H83" s="22"/>
      <c r="I83" s="22"/>
      <c r="J83" s="23"/>
    </row>
    <row r="84" spans="2:10" x14ac:dyDescent="0.25">
      <c r="B84" s="26" t="str">
        <f>Summary!R12</f>
        <v/>
      </c>
    </row>
    <row r="85" spans="2:10" x14ac:dyDescent="0.25">
      <c r="B85" s="26" t="str">
        <f>Summary!R13</f>
        <v/>
      </c>
    </row>
    <row r="86" spans="2:10" ht="17.25" x14ac:dyDescent="0.3">
      <c r="B86" s="62" t="s">
        <v>37</v>
      </c>
      <c r="C86" s="63"/>
      <c r="D86" s="63"/>
      <c r="E86" s="63"/>
      <c r="F86" s="63"/>
      <c r="G86" s="63"/>
      <c r="H86" s="63"/>
      <c r="I86" s="63"/>
      <c r="J86" s="63"/>
    </row>
    <row r="87" spans="2:10" ht="21.95" customHeight="1" x14ac:dyDescent="0.25">
      <c r="B87" s="65" t="s">
        <v>38</v>
      </c>
      <c r="C87" s="63"/>
      <c r="D87" s="63"/>
      <c r="E87" s="63"/>
      <c r="F87" s="63"/>
      <c r="G87" s="63"/>
      <c r="H87" s="63"/>
      <c r="I87" s="63"/>
      <c r="J87" s="63"/>
    </row>
    <row r="88" spans="2:10" ht="21.95" customHeight="1" x14ac:dyDescent="0.25">
      <c r="B88" s="65" t="s">
        <v>39</v>
      </c>
      <c r="C88" s="63"/>
      <c r="D88" s="63"/>
      <c r="E88" s="63"/>
      <c r="F88" s="63"/>
      <c r="G88" s="63"/>
      <c r="H88" s="63"/>
      <c r="I88" s="63"/>
      <c r="J88" s="63"/>
    </row>
    <row r="89" spans="2:10" ht="21.95" customHeight="1" x14ac:dyDescent="0.25">
      <c r="B89" s="65" t="s">
        <v>40</v>
      </c>
      <c r="C89" s="63"/>
      <c r="D89" s="63"/>
      <c r="E89" s="63"/>
      <c r="F89" s="63"/>
      <c r="G89" s="63"/>
      <c r="H89" s="63"/>
      <c r="I89" s="63"/>
      <c r="J89" s="63"/>
    </row>
    <row r="90" spans="2:10" ht="21.95" customHeight="1" x14ac:dyDescent="0.25">
      <c r="B90" s="65" t="s">
        <v>41</v>
      </c>
      <c r="C90" s="63"/>
      <c r="D90" s="63"/>
      <c r="E90" s="63"/>
      <c r="F90" s="63"/>
      <c r="G90" s="63"/>
      <c r="H90" s="63"/>
      <c r="I90" s="63"/>
      <c r="J90" s="63"/>
    </row>
    <row r="91" spans="2:10" ht="21.95" customHeight="1" x14ac:dyDescent="0.25">
      <c r="B91" s="65" t="s">
        <v>42</v>
      </c>
      <c r="C91" s="63"/>
      <c r="D91" s="63"/>
      <c r="E91" s="63"/>
      <c r="F91" s="63"/>
      <c r="G91" s="63"/>
      <c r="H91" s="63"/>
      <c r="I91" s="63"/>
      <c r="J91" s="63"/>
    </row>
    <row r="92" spans="2:10" ht="21.95" customHeight="1" x14ac:dyDescent="0.25">
      <c r="B92" s="65" t="s">
        <v>43</v>
      </c>
      <c r="C92" s="63"/>
      <c r="D92" s="63"/>
      <c r="E92" s="63"/>
      <c r="F92" s="63"/>
      <c r="G92" s="63"/>
      <c r="H92" s="63"/>
      <c r="I92" s="63"/>
      <c r="J92" s="63"/>
    </row>
    <row r="93" spans="2:10" ht="21.95" customHeight="1" x14ac:dyDescent="0.25">
      <c r="B93" s="65" t="s">
        <v>44</v>
      </c>
      <c r="C93" s="63"/>
      <c r="D93" s="63"/>
      <c r="E93" s="63"/>
      <c r="F93" s="63"/>
      <c r="G93" s="63"/>
      <c r="H93" s="63"/>
      <c r="I93" s="63"/>
      <c r="J93" s="63"/>
    </row>
    <row r="94" spans="2:10" ht="21.95" customHeight="1" x14ac:dyDescent="0.25">
      <c r="B94" s="65" t="s">
        <v>45</v>
      </c>
      <c r="C94" s="63"/>
      <c r="D94" s="63"/>
      <c r="E94" s="63"/>
      <c r="F94" s="63"/>
      <c r="G94" s="63"/>
      <c r="H94" s="63"/>
      <c r="I94" s="63"/>
      <c r="J94" s="63"/>
    </row>
    <row r="95" spans="2:10" ht="21.95" customHeight="1" x14ac:dyDescent="0.25">
      <c r="B95" s="65" t="s">
        <v>46</v>
      </c>
      <c r="C95" s="63"/>
      <c r="D95" s="63"/>
      <c r="E95" s="63"/>
      <c r="F95" s="63"/>
      <c r="G95" s="63"/>
      <c r="H95" s="63"/>
      <c r="I95" s="63"/>
      <c r="J95" s="63"/>
    </row>
    <row r="96" spans="2:10" x14ac:dyDescent="0.25">
      <c r="B96" s="26" t="str">
        <f>Summary!R24</f>
        <v/>
      </c>
    </row>
    <row r="97" spans="2:2" x14ac:dyDescent="0.25">
      <c r="B97" s="26" t="str">
        <f>Summary!R25</f>
        <v/>
      </c>
    </row>
    <row r="98" spans="2:2" x14ac:dyDescent="0.25">
      <c r="B98" s="26" t="str">
        <f>Summary!R26</f>
        <v/>
      </c>
    </row>
    <row r="99" spans="2:2" x14ac:dyDescent="0.25">
      <c r="B99" s="26" t="str">
        <f>Summary!R27</f>
        <v/>
      </c>
    </row>
    <row r="100" spans="2:2" x14ac:dyDescent="0.25">
      <c r="B100" s="26" t="str">
        <f>Summary!R28</f>
        <v/>
      </c>
    </row>
    <row r="101" spans="2:2" x14ac:dyDescent="0.25">
      <c r="B101" s="26" t="str">
        <f>Summary!R29</f>
        <v/>
      </c>
    </row>
    <row r="102" spans="2:2" x14ac:dyDescent="0.25">
      <c r="B102" s="26" t="str">
        <f>Summary!R30</f>
        <v/>
      </c>
    </row>
    <row r="103" spans="2:2" x14ac:dyDescent="0.25">
      <c r="B103" s="26" t="str">
        <f>Summary!R31</f>
        <v/>
      </c>
    </row>
    <row r="104" spans="2:2" x14ac:dyDescent="0.25">
      <c r="B104" s="26" t="str">
        <f>Summary!R32</f>
        <v/>
      </c>
    </row>
  </sheetData>
  <mergeCells count="34">
    <mergeCell ref="B95:J95"/>
    <mergeCell ref="B89:J89"/>
    <mergeCell ref="H7:I7"/>
    <mergeCell ref="B32:J32"/>
    <mergeCell ref="B94:J94"/>
    <mergeCell ref="B91:J91"/>
    <mergeCell ref="D12:E12"/>
    <mergeCell ref="D8:E8"/>
    <mergeCell ref="H12:I12"/>
    <mergeCell ref="B90:J90"/>
    <mergeCell ref="B93:J93"/>
    <mergeCell ref="H8:I8"/>
    <mergeCell ref="B92:J92"/>
    <mergeCell ref="F8:G8"/>
    <mergeCell ref="B15:J15"/>
    <mergeCell ref="H11:I11"/>
    <mergeCell ref="D7:E7"/>
    <mergeCell ref="B86:J86"/>
    <mergeCell ref="B88:J88"/>
    <mergeCell ref="F7:G7"/>
    <mergeCell ref="B12:C12"/>
    <mergeCell ref="B87:J87"/>
    <mergeCell ref="F12:G12"/>
    <mergeCell ref="B11:C11"/>
    <mergeCell ref="D11:E11"/>
    <mergeCell ref="B8:C8"/>
    <mergeCell ref="F11:G11"/>
    <mergeCell ref="B7:C7"/>
    <mergeCell ref="B67:J67"/>
    <mergeCell ref="B60:J60"/>
    <mergeCell ref="B1:J1"/>
    <mergeCell ref="B3:J3"/>
    <mergeCell ref="B5:C5"/>
    <mergeCell ref="B2:J2"/>
  </mergeCells>
  <conditionalFormatting sqref="B61:G65">
    <cfRule type="expression" dxfId="255" priority="2">
      <formula>ISNUMBER(SEARCH("PASS",B61))</formula>
    </cfRule>
    <cfRule type="expression" dxfId="254" priority="3">
      <formula>ISNUMBER(SEARCH("FAIL",B61))</formula>
    </cfRule>
    <cfRule type="expression" dxfId="253" priority="4">
      <formula>ISNUMBER(SEARCH("BLOCKED",B61))</formula>
    </cfRule>
    <cfRule type="expression" dxfId="252" priority="5">
      <formula>ISNUMBER(SEARCH("SKIP",B61))</formula>
    </cfRule>
  </conditionalFormatting>
  <conditionalFormatting sqref="E69:E83">
    <cfRule type="cellIs" dxfId="251" priority="6" operator="equal">
      <formula>"Critical"</formula>
    </cfRule>
    <cfRule type="cellIs" dxfId="250" priority="7" operator="equal">
      <formula>"Major"</formula>
    </cfRule>
  </conditionalFormatting>
  <conditionalFormatting sqref="G69:G83">
    <cfRule type="cellIs" dxfId="249" priority="8" operator="equal">
      <formula>"Open"</formula>
    </cfRule>
    <cfRule type="cellIs" dxfId="248" priority="9" operator="equal">
      <formula>"Fixed"</formula>
    </cfRule>
    <cfRule type="cellIs" dxfId="247" priority="10" operator="equal">
      <formula>"Verified"</formula>
    </cfRule>
  </conditionalFormatting>
  <conditionalFormatting sqref="H35:H41">
    <cfRule type="dataBar" priority="1">
      <dataBar>
        <cfvo type="num" val="0"/>
        <cfvo type="num" val="1"/>
        <color rgb="FF0D6B5C"/>
      </dataBar>
    </cfRule>
  </conditionalFormatting>
  <dataValidations count="2">
    <dataValidation type="list" sqref="E69:E83" xr:uid="{00000000-0002-0000-0000-000000000000}">
      <formula1>"Critical,Major,Minor,Cosmetic"</formula1>
    </dataValidation>
    <dataValidation type="list" sqref="G69:G83" xr:uid="{00000000-0002-0000-0000-000001000000}">
      <formula1>"Open,In Progress,Fixed,Verified,Won't Fix"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6A4A"/>
  </sheetPr>
  <dimension ref="A1:M23"/>
  <sheetViews>
    <sheetView workbookViewId="0">
      <pane ySplit="3" topLeftCell="A4" activePane="bottomLeft" state="frozen"/>
      <selection pane="bottomLeft" sqref="A1:M1"/>
    </sheetView>
  </sheetViews>
  <sheetFormatPr defaultRowHeight="15" x14ac:dyDescent="0.25"/>
  <cols>
    <col min="1" max="1" width="8" customWidth="1"/>
    <col min="2" max="2" width="14" customWidth="1"/>
    <col min="3" max="3" width="18" customWidth="1"/>
    <col min="4" max="5" width="14" customWidth="1"/>
    <col min="6" max="6" width="18" customWidth="1"/>
    <col min="7" max="10" width="10" customWidth="1"/>
    <col min="11" max="12" width="12" customWidth="1"/>
    <col min="13" max="13" width="45" customWidth="1"/>
  </cols>
  <sheetData>
    <row r="1" spans="1:13" ht="30" customHeight="1" x14ac:dyDescent="0.25">
      <c r="A1" s="78" t="s">
        <v>47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3" spans="1:13" ht="30" x14ac:dyDescent="0.25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54</v>
      </c>
      <c r="M3" s="4" t="s">
        <v>55</v>
      </c>
    </row>
    <row r="4" spans="1:13" x14ac:dyDescent="0.25">
      <c r="A4" s="22">
        <v>1</v>
      </c>
      <c r="B4" s="22"/>
      <c r="C4" s="22"/>
      <c r="D4" s="22"/>
      <c r="E4" s="22"/>
      <c r="F4" s="22"/>
      <c r="G4" s="22"/>
      <c r="H4" s="22"/>
      <c r="I4" s="22"/>
      <c r="J4" s="22"/>
      <c r="K4" s="27" t="str">
        <f t="shared" ref="K4:K23" si="0">IF(G4+H4&gt;0,G4/(G4+H4),"")</f>
        <v/>
      </c>
      <c r="L4" s="23"/>
      <c r="M4" s="23"/>
    </row>
    <row r="5" spans="1:13" x14ac:dyDescent="0.25">
      <c r="A5" s="24">
        <v>2</v>
      </c>
      <c r="B5" s="24"/>
      <c r="C5" s="24"/>
      <c r="D5" s="24"/>
      <c r="E5" s="24"/>
      <c r="F5" s="24"/>
      <c r="G5" s="24"/>
      <c r="H5" s="24"/>
      <c r="I5" s="24"/>
      <c r="J5" s="24"/>
      <c r="K5" s="28" t="str">
        <f t="shared" si="0"/>
        <v/>
      </c>
      <c r="L5" s="25"/>
      <c r="M5" s="25"/>
    </row>
    <row r="6" spans="1:13" x14ac:dyDescent="0.25">
      <c r="A6" s="22">
        <v>3</v>
      </c>
      <c r="B6" s="22"/>
      <c r="C6" s="22"/>
      <c r="D6" s="22"/>
      <c r="E6" s="22"/>
      <c r="F6" s="22"/>
      <c r="G6" s="22"/>
      <c r="H6" s="22"/>
      <c r="I6" s="22"/>
      <c r="J6" s="22"/>
      <c r="K6" s="27" t="str">
        <f t="shared" si="0"/>
        <v/>
      </c>
      <c r="L6" s="23"/>
      <c r="M6" s="23"/>
    </row>
    <row r="7" spans="1:13" x14ac:dyDescent="0.25">
      <c r="A7" s="24">
        <v>4</v>
      </c>
      <c r="B7" s="24"/>
      <c r="C7" s="24"/>
      <c r="D7" s="24"/>
      <c r="E7" s="24"/>
      <c r="F7" s="24"/>
      <c r="G7" s="24"/>
      <c r="H7" s="24"/>
      <c r="I7" s="24"/>
      <c r="J7" s="24"/>
      <c r="K7" s="28" t="str">
        <f t="shared" si="0"/>
        <v/>
      </c>
      <c r="L7" s="25"/>
      <c r="M7" s="25"/>
    </row>
    <row r="8" spans="1:13" x14ac:dyDescent="0.25">
      <c r="A8" s="22">
        <v>5</v>
      </c>
      <c r="B8" s="22"/>
      <c r="C8" s="22"/>
      <c r="D8" s="22"/>
      <c r="E8" s="22"/>
      <c r="F8" s="22"/>
      <c r="G8" s="22"/>
      <c r="H8" s="22"/>
      <c r="I8" s="22"/>
      <c r="J8" s="22"/>
      <c r="K8" s="27" t="str">
        <f t="shared" si="0"/>
        <v/>
      </c>
      <c r="L8" s="23"/>
      <c r="M8" s="23"/>
    </row>
    <row r="9" spans="1:13" x14ac:dyDescent="0.25">
      <c r="A9" s="24">
        <v>6</v>
      </c>
      <c r="B9" s="24"/>
      <c r="C9" s="24"/>
      <c r="D9" s="24"/>
      <c r="E9" s="24"/>
      <c r="F9" s="24"/>
      <c r="G9" s="24"/>
      <c r="H9" s="24"/>
      <c r="I9" s="24"/>
      <c r="J9" s="24"/>
      <c r="K9" s="28" t="str">
        <f t="shared" si="0"/>
        <v/>
      </c>
      <c r="L9" s="25"/>
      <c r="M9" s="25"/>
    </row>
    <row r="10" spans="1:13" x14ac:dyDescent="0.25">
      <c r="A10" s="22">
        <v>7</v>
      </c>
      <c r="B10" s="22"/>
      <c r="C10" s="22"/>
      <c r="D10" s="22"/>
      <c r="E10" s="22"/>
      <c r="F10" s="22"/>
      <c r="G10" s="22"/>
      <c r="H10" s="22"/>
      <c r="I10" s="22"/>
      <c r="J10" s="22"/>
      <c r="K10" s="27" t="str">
        <f t="shared" si="0"/>
        <v/>
      </c>
      <c r="L10" s="23"/>
      <c r="M10" s="23"/>
    </row>
    <row r="11" spans="1:13" x14ac:dyDescent="0.25">
      <c r="A11" s="24">
        <v>8</v>
      </c>
      <c r="B11" s="24"/>
      <c r="C11" s="24"/>
      <c r="D11" s="24"/>
      <c r="E11" s="24"/>
      <c r="F11" s="24"/>
      <c r="G11" s="24"/>
      <c r="H11" s="24"/>
      <c r="I11" s="24"/>
      <c r="J11" s="24"/>
      <c r="K11" s="28" t="str">
        <f t="shared" si="0"/>
        <v/>
      </c>
      <c r="L11" s="25"/>
      <c r="M11" s="25"/>
    </row>
    <row r="12" spans="1:13" x14ac:dyDescent="0.25">
      <c r="A12" s="22">
        <v>9</v>
      </c>
      <c r="B12" s="22"/>
      <c r="C12" s="22"/>
      <c r="D12" s="22"/>
      <c r="E12" s="22"/>
      <c r="F12" s="22"/>
      <c r="G12" s="22"/>
      <c r="H12" s="22"/>
      <c r="I12" s="22"/>
      <c r="J12" s="22"/>
      <c r="K12" s="27" t="str">
        <f t="shared" si="0"/>
        <v/>
      </c>
      <c r="L12" s="23"/>
      <c r="M12" s="23"/>
    </row>
    <row r="13" spans="1:13" x14ac:dyDescent="0.25">
      <c r="A13" s="24">
        <v>10</v>
      </c>
      <c r="B13" s="24"/>
      <c r="C13" s="24"/>
      <c r="D13" s="24"/>
      <c r="E13" s="24"/>
      <c r="F13" s="24"/>
      <c r="G13" s="24"/>
      <c r="H13" s="24"/>
      <c r="I13" s="24"/>
      <c r="J13" s="24"/>
      <c r="K13" s="28" t="str">
        <f t="shared" si="0"/>
        <v/>
      </c>
      <c r="L13" s="25"/>
      <c r="M13" s="25"/>
    </row>
    <row r="14" spans="1:13" x14ac:dyDescent="0.25">
      <c r="A14" s="22">
        <v>11</v>
      </c>
      <c r="B14" s="22"/>
      <c r="C14" s="22"/>
      <c r="D14" s="22"/>
      <c r="E14" s="22"/>
      <c r="F14" s="22"/>
      <c r="G14" s="22"/>
      <c r="H14" s="22"/>
      <c r="I14" s="22"/>
      <c r="J14" s="22"/>
      <c r="K14" s="27" t="str">
        <f t="shared" si="0"/>
        <v/>
      </c>
      <c r="L14" s="23"/>
      <c r="M14" s="23"/>
    </row>
    <row r="15" spans="1:13" x14ac:dyDescent="0.25">
      <c r="A15" s="24">
        <v>12</v>
      </c>
      <c r="B15" s="24"/>
      <c r="C15" s="24"/>
      <c r="D15" s="24"/>
      <c r="E15" s="24"/>
      <c r="F15" s="24"/>
      <c r="G15" s="24"/>
      <c r="H15" s="24"/>
      <c r="I15" s="24"/>
      <c r="J15" s="24"/>
      <c r="K15" s="28" t="str">
        <f t="shared" si="0"/>
        <v/>
      </c>
      <c r="L15" s="25"/>
      <c r="M15" s="25"/>
    </row>
    <row r="16" spans="1:13" x14ac:dyDescent="0.25">
      <c r="A16" s="22">
        <v>13</v>
      </c>
      <c r="B16" s="22"/>
      <c r="C16" s="22"/>
      <c r="D16" s="22"/>
      <c r="E16" s="22"/>
      <c r="F16" s="22"/>
      <c r="G16" s="22"/>
      <c r="H16" s="22"/>
      <c r="I16" s="22"/>
      <c r="J16" s="22"/>
      <c r="K16" s="27" t="str">
        <f t="shared" si="0"/>
        <v/>
      </c>
      <c r="L16" s="23"/>
      <c r="M16" s="23"/>
    </row>
    <row r="17" spans="1:13" x14ac:dyDescent="0.25">
      <c r="A17" s="24">
        <v>14</v>
      </c>
      <c r="B17" s="24"/>
      <c r="C17" s="24"/>
      <c r="D17" s="24"/>
      <c r="E17" s="24"/>
      <c r="F17" s="24"/>
      <c r="G17" s="24"/>
      <c r="H17" s="24"/>
      <c r="I17" s="24"/>
      <c r="J17" s="24"/>
      <c r="K17" s="28" t="str">
        <f t="shared" si="0"/>
        <v/>
      </c>
      <c r="L17" s="25"/>
      <c r="M17" s="25"/>
    </row>
    <row r="18" spans="1:13" x14ac:dyDescent="0.25">
      <c r="A18" s="22">
        <v>15</v>
      </c>
      <c r="B18" s="22"/>
      <c r="C18" s="22"/>
      <c r="D18" s="22"/>
      <c r="E18" s="22"/>
      <c r="F18" s="22"/>
      <c r="G18" s="22"/>
      <c r="H18" s="22"/>
      <c r="I18" s="22"/>
      <c r="J18" s="22"/>
      <c r="K18" s="27" t="str">
        <f t="shared" si="0"/>
        <v/>
      </c>
      <c r="L18" s="23"/>
      <c r="M18" s="23"/>
    </row>
    <row r="19" spans="1:13" x14ac:dyDescent="0.25">
      <c r="A19" s="24">
        <v>16</v>
      </c>
      <c r="B19" s="24"/>
      <c r="C19" s="24"/>
      <c r="D19" s="24"/>
      <c r="E19" s="24"/>
      <c r="F19" s="24"/>
      <c r="G19" s="24"/>
      <c r="H19" s="24"/>
      <c r="I19" s="24"/>
      <c r="J19" s="24"/>
      <c r="K19" s="28" t="str">
        <f t="shared" si="0"/>
        <v/>
      </c>
      <c r="L19" s="25"/>
      <c r="M19" s="25"/>
    </row>
    <row r="20" spans="1:13" x14ac:dyDescent="0.25">
      <c r="A20" s="22">
        <v>17</v>
      </c>
      <c r="B20" s="22"/>
      <c r="C20" s="22"/>
      <c r="D20" s="22"/>
      <c r="E20" s="22"/>
      <c r="F20" s="22"/>
      <c r="G20" s="22"/>
      <c r="H20" s="22"/>
      <c r="I20" s="22"/>
      <c r="J20" s="22"/>
      <c r="K20" s="27" t="str">
        <f t="shared" si="0"/>
        <v/>
      </c>
      <c r="L20" s="23"/>
      <c r="M20" s="23"/>
    </row>
    <row r="21" spans="1:13" x14ac:dyDescent="0.25">
      <c r="A21" s="24">
        <v>18</v>
      </c>
      <c r="B21" s="24"/>
      <c r="C21" s="24"/>
      <c r="D21" s="24"/>
      <c r="E21" s="24"/>
      <c r="F21" s="24"/>
      <c r="G21" s="24"/>
      <c r="H21" s="24"/>
      <c r="I21" s="24"/>
      <c r="J21" s="24"/>
      <c r="K21" s="28" t="str">
        <f t="shared" si="0"/>
        <v/>
      </c>
      <c r="L21" s="25"/>
      <c r="M21" s="25"/>
    </row>
    <row r="22" spans="1:13" x14ac:dyDescent="0.25">
      <c r="A22" s="22">
        <v>19</v>
      </c>
      <c r="B22" s="22"/>
      <c r="C22" s="22"/>
      <c r="D22" s="22"/>
      <c r="E22" s="22"/>
      <c r="F22" s="22"/>
      <c r="G22" s="22"/>
      <c r="H22" s="22"/>
      <c r="I22" s="22"/>
      <c r="J22" s="22"/>
      <c r="K22" s="27" t="str">
        <f t="shared" si="0"/>
        <v/>
      </c>
      <c r="L22" s="23"/>
      <c r="M22" s="23"/>
    </row>
    <row r="23" spans="1:13" x14ac:dyDescent="0.25">
      <c r="A23" s="24">
        <v>20</v>
      </c>
      <c r="B23" s="24"/>
      <c r="C23" s="24"/>
      <c r="D23" s="24"/>
      <c r="E23" s="24"/>
      <c r="F23" s="24"/>
      <c r="G23" s="24"/>
      <c r="H23" s="24"/>
      <c r="I23" s="24"/>
      <c r="J23" s="24"/>
      <c r="K23" s="28" t="str">
        <f t="shared" si="0"/>
        <v/>
      </c>
      <c r="L23" s="25"/>
      <c r="M23" s="25"/>
    </row>
  </sheetData>
  <mergeCells count="1">
    <mergeCell ref="A1:M1"/>
  </mergeCells>
  <dataValidations count="1">
    <dataValidation type="list" sqref="D4:D23" xr:uid="{00000000-0002-0000-0100-000000000000}">
      <formula1>"DEV,STAGING,PROD"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6B5C"/>
  </sheetPr>
  <dimension ref="A1:S34"/>
  <sheetViews>
    <sheetView workbookViewId="0">
      <pane xSplit="7" ySplit="2" topLeftCell="H3" activePane="bottomRight" state="frozen"/>
      <selection pane="topRight"/>
      <selection pane="bottomLeft"/>
      <selection pane="bottomRight" activeCell="D4" sqref="D4"/>
    </sheetView>
  </sheetViews>
  <sheetFormatPr defaultRowHeight="15" x14ac:dyDescent="0.25"/>
  <cols>
    <col min="1" max="1" width="7" style="92" customWidth="1"/>
    <col min="2" max="2" width="35" style="92" customWidth="1"/>
    <col min="3" max="3" width="18" style="92" customWidth="1"/>
    <col min="4" max="4" width="40.42578125" style="92" customWidth="1"/>
    <col min="5" max="5" width="10" style="92" customWidth="1"/>
    <col min="6" max="6" width="8" style="92" customWidth="1"/>
    <col min="7" max="7" width="40" style="92" customWidth="1"/>
    <col min="8" max="17" width="12" style="92" customWidth="1"/>
    <col min="18" max="18" width="14" style="92" customWidth="1"/>
    <col min="19" max="19" width="25" style="92" customWidth="1"/>
    <col min="20" max="16384" width="9.140625" style="92"/>
  </cols>
  <sheetData>
    <row r="1" spans="1:19" ht="30" customHeight="1" x14ac:dyDescent="0.25">
      <c r="A1" s="78" t="s">
        <v>56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9" x14ac:dyDescent="0.25">
      <c r="A2" s="4" t="s">
        <v>57</v>
      </c>
      <c r="B2" s="4" t="s">
        <v>58</v>
      </c>
      <c r="C2" s="4" t="s">
        <v>14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4" t="s">
        <v>66</v>
      </c>
      <c r="L2" s="4" t="s">
        <v>67</v>
      </c>
      <c r="M2" s="4" t="s">
        <v>68</v>
      </c>
      <c r="N2" s="4" t="s">
        <v>69</v>
      </c>
      <c r="O2" s="4" t="s">
        <v>70</v>
      </c>
      <c r="P2" s="4" t="s">
        <v>71</v>
      </c>
      <c r="Q2" s="4" t="s">
        <v>72</v>
      </c>
      <c r="R2" s="4" t="s">
        <v>73</v>
      </c>
      <c r="S2" s="4" t="s">
        <v>74</v>
      </c>
    </row>
    <row r="3" spans="1:19" ht="25.5" x14ac:dyDescent="0.25">
      <c r="A3" s="29" t="s">
        <v>75</v>
      </c>
      <c r="B3" s="23" t="s">
        <v>76</v>
      </c>
      <c r="C3" s="22" t="s">
        <v>17</v>
      </c>
      <c r="D3" s="23" t="s">
        <v>77</v>
      </c>
      <c r="E3" s="22" t="s">
        <v>78</v>
      </c>
      <c r="F3" s="22">
        <v>8</v>
      </c>
      <c r="G3" s="30" t="s">
        <v>79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2" t="str">
        <f t="shared" ref="R3:R32" si="0">IF(Q3&lt;&gt;"",Q3,IF(P3&lt;&gt;"",P3,IF(O3&lt;&gt;"",O3,IF(N3&lt;&gt;"",N3,IF(M3&lt;&gt;"",M3,IF(L3&lt;&gt;"",L3,IF(K3&lt;&gt;"",K3,IF(J3&lt;&gt;"",J3,IF(I3&lt;&gt;"",I3,IF(H3&lt;&gt;"",H3,""))))))))))</f>
        <v/>
      </c>
      <c r="S3" s="23"/>
    </row>
    <row r="4" spans="1:19" ht="25.5" x14ac:dyDescent="0.25">
      <c r="A4" s="33" t="s">
        <v>80</v>
      </c>
      <c r="B4" s="25" t="s">
        <v>81</v>
      </c>
      <c r="C4" s="24" t="s">
        <v>21</v>
      </c>
      <c r="D4" s="25" t="s">
        <v>82</v>
      </c>
      <c r="E4" s="24" t="s">
        <v>78</v>
      </c>
      <c r="F4" s="24">
        <v>10</v>
      </c>
      <c r="G4" s="34" t="s">
        <v>83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6" t="str">
        <f t="shared" si="0"/>
        <v/>
      </c>
      <c r="S4" s="25"/>
    </row>
    <row r="5" spans="1:19" ht="30" x14ac:dyDescent="0.25">
      <c r="A5" s="29" t="s">
        <v>84</v>
      </c>
      <c r="B5" s="23" t="s">
        <v>85</v>
      </c>
      <c r="C5" s="22" t="s">
        <v>17</v>
      </c>
      <c r="D5" s="23" t="s">
        <v>86</v>
      </c>
      <c r="E5" s="22" t="s">
        <v>87</v>
      </c>
      <c r="F5" s="22">
        <v>12</v>
      </c>
      <c r="G5" s="30" t="s">
        <v>88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2" t="str">
        <f t="shared" si="0"/>
        <v/>
      </c>
      <c r="S5" s="23"/>
    </row>
    <row r="6" spans="1:19" ht="30" x14ac:dyDescent="0.25">
      <c r="A6" s="33" t="s">
        <v>89</v>
      </c>
      <c r="B6" s="25" t="s">
        <v>90</v>
      </c>
      <c r="C6" s="24" t="s">
        <v>18</v>
      </c>
      <c r="D6" s="25" t="s">
        <v>91</v>
      </c>
      <c r="E6" s="24" t="s">
        <v>92</v>
      </c>
      <c r="F6" s="24">
        <v>12</v>
      </c>
      <c r="G6" s="34" t="s">
        <v>93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6" t="str">
        <f t="shared" si="0"/>
        <v/>
      </c>
      <c r="S6" s="25"/>
    </row>
    <row r="7" spans="1:19" ht="25.5" x14ac:dyDescent="0.25">
      <c r="A7" s="29" t="s">
        <v>94</v>
      </c>
      <c r="B7" s="23" t="s">
        <v>95</v>
      </c>
      <c r="C7" s="22" t="s">
        <v>18</v>
      </c>
      <c r="D7" s="23" t="s">
        <v>96</v>
      </c>
      <c r="E7" s="22" t="s">
        <v>92</v>
      </c>
      <c r="F7" s="22">
        <v>11</v>
      </c>
      <c r="G7" s="30" t="s">
        <v>97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2" t="str">
        <f t="shared" si="0"/>
        <v/>
      </c>
      <c r="S7" s="23"/>
    </row>
    <row r="8" spans="1:19" ht="30" x14ac:dyDescent="0.25">
      <c r="A8" s="33" t="s">
        <v>98</v>
      </c>
      <c r="B8" s="25" t="s">
        <v>99</v>
      </c>
      <c r="C8" s="24" t="s">
        <v>18</v>
      </c>
      <c r="D8" s="25" t="s">
        <v>100</v>
      </c>
      <c r="E8" s="24" t="s">
        <v>92</v>
      </c>
      <c r="F8" s="24">
        <v>10</v>
      </c>
      <c r="G8" s="34" t="s">
        <v>101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6" t="str">
        <f t="shared" si="0"/>
        <v/>
      </c>
      <c r="S8" s="25"/>
    </row>
    <row r="9" spans="1:19" ht="30" x14ac:dyDescent="0.25">
      <c r="A9" s="29" t="s">
        <v>102</v>
      </c>
      <c r="B9" s="23" t="s">
        <v>103</v>
      </c>
      <c r="C9" s="22" t="s">
        <v>19</v>
      </c>
      <c r="D9" s="23" t="s">
        <v>104</v>
      </c>
      <c r="E9" s="22" t="s">
        <v>105</v>
      </c>
      <c r="F9" s="22">
        <v>7</v>
      </c>
      <c r="G9" s="30" t="s">
        <v>106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2" t="str">
        <f t="shared" si="0"/>
        <v/>
      </c>
      <c r="S9" s="23"/>
    </row>
    <row r="10" spans="1:19" ht="25.5" x14ac:dyDescent="0.25">
      <c r="A10" s="33" t="s">
        <v>107</v>
      </c>
      <c r="B10" s="25" t="s">
        <v>108</v>
      </c>
      <c r="C10" s="24" t="s">
        <v>19</v>
      </c>
      <c r="D10" s="25" t="s">
        <v>96</v>
      </c>
      <c r="E10" s="24" t="s">
        <v>105</v>
      </c>
      <c r="F10" s="24">
        <v>6</v>
      </c>
      <c r="G10" s="34" t="s">
        <v>109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6" t="str">
        <f t="shared" si="0"/>
        <v/>
      </c>
      <c r="S10" s="25"/>
    </row>
    <row r="11" spans="1:19" ht="30" x14ac:dyDescent="0.25">
      <c r="A11" s="29" t="s">
        <v>110</v>
      </c>
      <c r="B11" s="23" t="s">
        <v>111</v>
      </c>
      <c r="C11" s="22" t="s">
        <v>19</v>
      </c>
      <c r="D11" s="23" t="s">
        <v>91</v>
      </c>
      <c r="E11" s="22" t="s">
        <v>78</v>
      </c>
      <c r="F11" s="22">
        <v>8</v>
      </c>
      <c r="G11" s="30" t="s">
        <v>109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2" t="str">
        <f t="shared" si="0"/>
        <v/>
      </c>
      <c r="S11" s="23"/>
    </row>
    <row r="12" spans="1:19" ht="30" x14ac:dyDescent="0.25">
      <c r="A12" s="33" t="s">
        <v>112</v>
      </c>
      <c r="B12" s="25" t="s">
        <v>113</v>
      </c>
      <c r="C12" s="24" t="s">
        <v>19</v>
      </c>
      <c r="D12" s="25" t="s">
        <v>114</v>
      </c>
      <c r="E12" s="24" t="s">
        <v>78</v>
      </c>
      <c r="F12" s="24">
        <v>7</v>
      </c>
      <c r="G12" s="34" t="s">
        <v>115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6" t="str">
        <f t="shared" si="0"/>
        <v/>
      </c>
      <c r="S12" s="25"/>
    </row>
    <row r="13" spans="1:19" ht="15.75" x14ac:dyDescent="0.25">
      <c r="A13" s="29" t="s">
        <v>116</v>
      </c>
      <c r="B13" s="23" t="s">
        <v>117</v>
      </c>
      <c r="C13" s="22" t="s">
        <v>19</v>
      </c>
      <c r="D13" s="23" t="s">
        <v>118</v>
      </c>
      <c r="E13" s="22" t="s">
        <v>87</v>
      </c>
      <c r="F13" s="22">
        <v>8</v>
      </c>
      <c r="G13" s="30" t="s">
        <v>119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2" t="str">
        <f t="shared" si="0"/>
        <v/>
      </c>
      <c r="S13" s="23"/>
    </row>
    <row r="14" spans="1:19" ht="30" x14ac:dyDescent="0.25">
      <c r="A14" s="33" t="s">
        <v>120</v>
      </c>
      <c r="B14" s="25" t="s">
        <v>121</v>
      </c>
      <c r="C14" s="24" t="s">
        <v>20</v>
      </c>
      <c r="D14" s="25" t="s">
        <v>122</v>
      </c>
      <c r="E14" s="24" t="s">
        <v>78</v>
      </c>
      <c r="F14" s="24">
        <v>7</v>
      </c>
      <c r="G14" s="34" t="s">
        <v>123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6" t="str">
        <f t="shared" si="0"/>
        <v/>
      </c>
      <c r="S14" s="25"/>
    </row>
    <row r="15" spans="1:19" ht="15.75" x14ac:dyDescent="0.25">
      <c r="A15" s="29" t="s">
        <v>124</v>
      </c>
      <c r="B15" s="23" t="s">
        <v>125</v>
      </c>
      <c r="C15" s="22" t="s">
        <v>20</v>
      </c>
      <c r="D15" s="23" t="s">
        <v>126</v>
      </c>
      <c r="E15" s="22" t="s">
        <v>105</v>
      </c>
      <c r="F15" s="22">
        <v>7</v>
      </c>
      <c r="G15" s="30" t="s">
        <v>127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2" t="str">
        <f t="shared" si="0"/>
        <v/>
      </c>
      <c r="S15" s="23"/>
    </row>
    <row r="16" spans="1:19" ht="15.75" x14ac:dyDescent="0.25">
      <c r="A16" s="33" t="s">
        <v>128</v>
      </c>
      <c r="B16" s="25" t="s">
        <v>129</v>
      </c>
      <c r="C16" s="24" t="s">
        <v>20</v>
      </c>
      <c r="D16" s="25" t="s">
        <v>130</v>
      </c>
      <c r="E16" s="24" t="s">
        <v>105</v>
      </c>
      <c r="F16" s="24">
        <v>5</v>
      </c>
      <c r="G16" s="34" t="s">
        <v>131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6" t="str">
        <f t="shared" si="0"/>
        <v/>
      </c>
      <c r="S16" s="25"/>
    </row>
    <row r="17" spans="1:19" ht="30" x14ac:dyDescent="0.25">
      <c r="A17" s="29" t="s">
        <v>132</v>
      </c>
      <c r="B17" s="23" t="s">
        <v>133</v>
      </c>
      <c r="C17" s="22" t="s">
        <v>20</v>
      </c>
      <c r="D17" s="23" t="s">
        <v>134</v>
      </c>
      <c r="E17" s="22" t="s">
        <v>78</v>
      </c>
      <c r="F17" s="22">
        <v>6</v>
      </c>
      <c r="G17" s="30" t="s">
        <v>135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2" t="str">
        <f t="shared" si="0"/>
        <v/>
      </c>
      <c r="S17" s="23"/>
    </row>
    <row r="18" spans="1:19" ht="15.75" x14ac:dyDescent="0.25">
      <c r="A18" s="33" t="s">
        <v>136</v>
      </c>
      <c r="B18" s="25" t="s">
        <v>137</v>
      </c>
      <c r="C18" s="24" t="s">
        <v>20</v>
      </c>
      <c r="D18" s="25" t="s">
        <v>138</v>
      </c>
      <c r="E18" s="24" t="s">
        <v>78</v>
      </c>
      <c r="F18" s="24">
        <v>10</v>
      </c>
      <c r="G18" s="34" t="s">
        <v>139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6" t="str">
        <f t="shared" si="0"/>
        <v/>
      </c>
      <c r="S18" s="25"/>
    </row>
    <row r="19" spans="1:19" ht="25.5" x14ac:dyDescent="0.25">
      <c r="A19" s="29" t="s">
        <v>140</v>
      </c>
      <c r="B19" s="23" t="s">
        <v>141</v>
      </c>
      <c r="C19" s="22" t="s">
        <v>19</v>
      </c>
      <c r="D19" s="23" t="s">
        <v>96</v>
      </c>
      <c r="E19" s="22" t="s">
        <v>78</v>
      </c>
      <c r="F19" s="22">
        <v>8</v>
      </c>
      <c r="G19" s="30" t="s">
        <v>142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2" t="str">
        <f t="shared" si="0"/>
        <v/>
      </c>
      <c r="S19" s="23"/>
    </row>
    <row r="20" spans="1:19" ht="15.75" x14ac:dyDescent="0.25">
      <c r="A20" s="33" t="s">
        <v>143</v>
      </c>
      <c r="B20" s="25" t="s">
        <v>144</v>
      </c>
      <c r="C20" s="24" t="s">
        <v>21</v>
      </c>
      <c r="D20" s="25" t="s">
        <v>145</v>
      </c>
      <c r="E20" s="24" t="s">
        <v>92</v>
      </c>
      <c r="F20" s="24">
        <v>24</v>
      </c>
      <c r="G20" s="34" t="s">
        <v>146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6" t="str">
        <f t="shared" si="0"/>
        <v/>
      </c>
      <c r="S20" s="25"/>
    </row>
    <row r="21" spans="1:19" ht="15.75" x14ac:dyDescent="0.25">
      <c r="A21" s="29" t="s">
        <v>147</v>
      </c>
      <c r="B21" s="23" t="s">
        <v>148</v>
      </c>
      <c r="C21" s="22" t="s">
        <v>18</v>
      </c>
      <c r="D21" s="23" t="s">
        <v>149</v>
      </c>
      <c r="E21" s="22" t="s">
        <v>78</v>
      </c>
      <c r="F21" s="22">
        <v>6</v>
      </c>
      <c r="G21" s="30" t="s">
        <v>150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2" t="str">
        <f t="shared" si="0"/>
        <v/>
      </c>
      <c r="S21" s="23"/>
    </row>
    <row r="22" spans="1:19" ht="30" x14ac:dyDescent="0.25">
      <c r="A22" s="33" t="s">
        <v>151</v>
      </c>
      <c r="B22" s="25" t="s">
        <v>152</v>
      </c>
      <c r="C22" s="24" t="s">
        <v>17</v>
      </c>
      <c r="D22" s="25" t="s">
        <v>153</v>
      </c>
      <c r="E22" s="24" t="s">
        <v>78</v>
      </c>
      <c r="F22" s="24">
        <v>17</v>
      </c>
      <c r="G22" s="34" t="s">
        <v>154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6" t="str">
        <f t="shared" si="0"/>
        <v/>
      </c>
      <c r="S22" s="25"/>
    </row>
    <row r="23" spans="1:19" ht="15.75" x14ac:dyDescent="0.25">
      <c r="A23" s="29" t="s">
        <v>155</v>
      </c>
      <c r="B23" s="23" t="s">
        <v>156</v>
      </c>
      <c r="C23" s="22" t="s">
        <v>22</v>
      </c>
      <c r="D23" s="23" t="s">
        <v>157</v>
      </c>
      <c r="E23" s="22" t="s">
        <v>78</v>
      </c>
      <c r="F23" s="22">
        <v>7</v>
      </c>
      <c r="G23" s="30" t="s">
        <v>127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2" t="str">
        <f t="shared" si="0"/>
        <v/>
      </c>
      <c r="S23" s="23"/>
    </row>
    <row r="24" spans="1:19" ht="30" x14ac:dyDescent="0.25">
      <c r="A24" s="33" t="s">
        <v>158</v>
      </c>
      <c r="B24" s="25" t="s">
        <v>159</v>
      </c>
      <c r="C24" s="24" t="s">
        <v>17</v>
      </c>
      <c r="D24" s="25" t="s">
        <v>160</v>
      </c>
      <c r="E24" s="24" t="s">
        <v>78</v>
      </c>
      <c r="F24" s="24">
        <v>7</v>
      </c>
      <c r="G24" s="34" t="s">
        <v>161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6" t="str">
        <f t="shared" si="0"/>
        <v/>
      </c>
      <c r="S24" s="25"/>
    </row>
    <row r="25" spans="1:19" ht="15.75" x14ac:dyDescent="0.25">
      <c r="A25" s="29" t="s">
        <v>162</v>
      </c>
      <c r="B25" s="23" t="s">
        <v>163</v>
      </c>
      <c r="C25" s="22" t="s">
        <v>18</v>
      </c>
      <c r="D25" s="23" t="s">
        <v>96</v>
      </c>
      <c r="E25" s="22" t="s">
        <v>87</v>
      </c>
      <c r="F25" s="22">
        <v>7</v>
      </c>
      <c r="G25" s="30" t="s">
        <v>164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2" t="str">
        <f t="shared" si="0"/>
        <v/>
      </c>
      <c r="S25" s="23"/>
    </row>
    <row r="26" spans="1:19" ht="15.75" x14ac:dyDescent="0.25">
      <c r="A26" s="33" t="s">
        <v>165</v>
      </c>
      <c r="B26" s="25" t="s">
        <v>166</v>
      </c>
      <c r="C26" s="24" t="s">
        <v>21</v>
      </c>
      <c r="D26" s="25" t="s">
        <v>167</v>
      </c>
      <c r="E26" s="24" t="s">
        <v>78</v>
      </c>
      <c r="F26" s="24">
        <v>9</v>
      </c>
      <c r="G26" s="34" t="s">
        <v>168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6" t="str">
        <f t="shared" si="0"/>
        <v/>
      </c>
      <c r="S26" s="25"/>
    </row>
    <row r="27" spans="1:19" ht="15.75" x14ac:dyDescent="0.25">
      <c r="A27" s="29" t="s">
        <v>169</v>
      </c>
      <c r="B27" s="23" t="s">
        <v>170</v>
      </c>
      <c r="C27" s="22" t="s">
        <v>21</v>
      </c>
      <c r="D27" s="23" t="s">
        <v>171</v>
      </c>
      <c r="E27" s="22" t="s">
        <v>105</v>
      </c>
      <c r="F27" s="22">
        <v>6</v>
      </c>
      <c r="G27" s="30" t="s">
        <v>146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2" t="str">
        <f t="shared" si="0"/>
        <v/>
      </c>
      <c r="S27" s="23"/>
    </row>
    <row r="28" spans="1:19" ht="30" x14ac:dyDescent="0.25">
      <c r="A28" s="33" t="s">
        <v>172</v>
      </c>
      <c r="B28" s="25" t="s">
        <v>173</v>
      </c>
      <c r="C28" s="24" t="s">
        <v>21</v>
      </c>
      <c r="D28" s="25" t="s">
        <v>174</v>
      </c>
      <c r="E28" s="24" t="s">
        <v>78</v>
      </c>
      <c r="F28" s="24">
        <v>8</v>
      </c>
      <c r="G28" s="34" t="s">
        <v>175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 t="str">
        <f t="shared" si="0"/>
        <v/>
      </c>
      <c r="S28" s="25"/>
    </row>
    <row r="29" spans="1:19" ht="15.75" x14ac:dyDescent="0.25">
      <c r="A29" s="29" t="s">
        <v>176</v>
      </c>
      <c r="B29" s="23" t="s">
        <v>177</v>
      </c>
      <c r="C29" s="22" t="s">
        <v>21</v>
      </c>
      <c r="D29" s="23" t="s">
        <v>167</v>
      </c>
      <c r="E29" s="22" t="s">
        <v>78</v>
      </c>
      <c r="F29" s="22">
        <v>7</v>
      </c>
      <c r="G29" s="30" t="s">
        <v>161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2" t="str">
        <f t="shared" si="0"/>
        <v/>
      </c>
      <c r="S29" s="23"/>
    </row>
    <row r="30" spans="1:19" ht="15.75" x14ac:dyDescent="0.25">
      <c r="A30" s="33" t="s">
        <v>178</v>
      </c>
      <c r="B30" s="25" t="s">
        <v>179</v>
      </c>
      <c r="C30" s="24" t="s">
        <v>21</v>
      </c>
      <c r="D30" s="25" t="s">
        <v>180</v>
      </c>
      <c r="E30" s="24" t="s">
        <v>181</v>
      </c>
      <c r="F30" s="24">
        <v>4</v>
      </c>
      <c r="G30" s="34" t="s">
        <v>182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6" t="str">
        <f t="shared" si="0"/>
        <v/>
      </c>
      <c r="S30" s="25"/>
    </row>
    <row r="31" spans="1:19" ht="30" x14ac:dyDescent="0.25">
      <c r="A31" s="29" t="s">
        <v>183</v>
      </c>
      <c r="B31" s="23" t="s">
        <v>184</v>
      </c>
      <c r="C31" s="22" t="s">
        <v>22</v>
      </c>
      <c r="D31" s="23" t="s">
        <v>185</v>
      </c>
      <c r="E31" s="22" t="s">
        <v>105</v>
      </c>
      <c r="F31" s="22">
        <v>5</v>
      </c>
      <c r="G31" s="30" t="s">
        <v>186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2" t="str">
        <f t="shared" si="0"/>
        <v/>
      </c>
      <c r="S31" s="23"/>
    </row>
    <row r="32" spans="1:19" ht="30" x14ac:dyDescent="0.25">
      <c r="A32" s="33" t="s">
        <v>187</v>
      </c>
      <c r="B32" s="25" t="s">
        <v>188</v>
      </c>
      <c r="C32" s="24" t="s">
        <v>23</v>
      </c>
      <c r="D32" s="25" t="s">
        <v>114</v>
      </c>
      <c r="E32" s="24" t="s">
        <v>189</v>
      </c>
      <c r="F32" s="24">
        <v>18</v>
      </c>
      <c r="G32" s="34" t="s">
        <v>190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6" t="str">
        <f t="shared" si="0"/>
        <v/>
      </c>
      <c r="S32" s="25"/>
    </row>
    <row r="33" spans="1:19" ht="30" x14ac:dyDescent="0.25">
      <c r="A33" s="37" t="s">
        <v>191</v>
      </c>
      <c r="B33" s="38">
        <f>COUNTIF(R3:R32,"PASS")</f>
        <v>0</v>
      </c>
      <c r="C33" s="39">
        <f>COUNTIF(R3:R32,"FAIL")</f>
        <v>0</v>
      </c>
      <c r="D33" s="40">
        <f>COUNTIF(R3:R32,"BLOCKED")</f>
        <v>0</v>
      </c>
      <c r="E33" s="41">
        <f>COUNTIF(R3:R32,"SKIP")</f>
        <v>0</v>
      </c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</row>
    <row r="34" spans="1:19" x14ac:dyDescent="0.25">
      <c r="B34" s="42" t="s">
        <v>5</v>
      </c>
      <c r="C34" s="42" t="s">
        <v>6</v>
      </c>
      <c r="D34" s="42" t="s">
        <v>7</v>
      </c>
      <c r="E34" s="42" t="s">
        <v>8</v>
      </c>
    </row>
  </sheetData>
  <mergeCells count="1">
    <mergeCell ref="A1:N1"/>
  </mergeCells>
  <conditionalFormatting sqref="H3:R32">
    <cfRule type="cellIs" dxfId="246" priority="1" operator="equal">
      <formula>"PASS"</formula>
    </cfRule>
    <cfRule type="cellIs" dxfId="245" priority="2" operator="equal">
      <formula>"FAIL"</formula>
    </cfRule>
    <cfRule type="cellIs" dxfId="244" priority="3" operator="equal">
      <formula>"BLOCKED"</formula>
    </cfRule>
    <cfRule type="cellIs" dxfId="243" priority="4" operator="equal">
      <formula>"SKIP"</formula>
    </cfRule>
  </conditionalFormatting>
  <dataValidations count="1">
    <dataValidation type="list" allowBlank="1" errorTitle="Invalid Status" error="Please select: PASS, FAIL, BLOCKED, SKIP, or N/A" promptTitle="Status" prompt="Select test result" sqref="H3:Q32" xr:uid="{00000000-0002-0000-0200-000000000000}">
      <formula1>"PASS,FAIL,BLOCKED,SKIP,N/A"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A34A"/>
  </sheetPr>
  <dimension ref="A1:Q18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2" t="s">
        <v>192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194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77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79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203</v>
      </c>
      <c r="C9" s="23" t="s">
        <v>204</v>
      </c>
      <c r="D9" s="45" t="s">
        <v>205</v>
      </c>
      <c r="E9" s="23" t="s">
        <v>206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203</v>
      </c>
      <c r="C10" s="25" t="s">
        <v>207</v>
      </c>
      <c r="D10" s="48" t="s">
        <v>205</v>
      </c>
      <c r="E10" s="25" t="s">
        <v>208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203</v>
      </c>
      <c r="C11" s="23" t="s">
        <v>209</v>
      </c>
      <c r="D11" s="45" t="s">
        <v>210</v>
      </c>
      <c r="E11" s="23" t="s">
        <v>211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212</v>
      </c>
      <c r="C12" s="25" t="s">
        <v>213</v>
      </c>
      <c r="D12" s="48" t="s">
        <v>214</v>
      </c>
      <c r="E12" s="25" t="s">
        <v>215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212</v>
      </c>
      <c r="C13" s="23" t="s">
        <v>216</v>
      </c>
      <c r="D13" s="45" t="s">
        <v>217</v>
      </c>
      <c r="E13" s="23" t="s">
        <v>218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212</v>
      </c>
      <c r="C14" s="25" t="s">
        <v>219</v>
      </c>
      <c r="D14" s="48" t="s">
        <v>217</v>
      </c>
      <c r="E14" s="25" t="s">
        <v>220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203</v>
      </c>
      <c r="C15" s="23" t="s">
        <v>221</v>
      </c>
      <c r="D15" s="45" t="s">
        <v>222</v>
      </c>
      <c r="E15" s="23" t="s">
        <v>223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203</v>
      </c>
      <c r="C16" s="25" t="s">
        <v>224</v>
      </c>
      <c r="D16" s="48" t="s">
        <v>225</v>
      </c>
      <c r="E16" s="25" t="s">
        <v>226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8" spans="1:16" ht="27.95" customHeight="1" x14ac:dyDescent="0.25">
      <c r="A18" s="79" t="s">
        <v>227</v>
      </c>
      <c r="B18" s="80"/>
      <c r="C18" s="80"/>
      <c r="D18" s="80"/>
      <c r="E18" s="8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1"/>
    </row>
  </sheetData>
  <mergeCells count="6">
    <mergeCell ref="A18:E18"/>
    <mergeCell ref="B4:Q4"/>
    <mergeCell ref="B6:Q6"/>
    <mergeCell ref="A1:Q1"/>
    <mergeCell ref="B3:Q3"/>
    <mergeCell ref="B5:Q5"/>
  </mergeCells>
  <conditionalFormatting sqref="F9:O16">
    <cfRule type="cellIs" dxfId="242" priority="1" operator="equal">
      <formula>"✅"</formula>
    </cfRule>
    <cfRule type="cellIs" dxfId="241" priority="2" operator="equal">
      <formula>"❌"</formula>
    </cfRule>
    <cfRule type="cellIs" dxfId="240" priority="3" operator="equal">
      <formula>"⏭"</formula>
    </cfRule>
    <cfRule type="cellIs" dxfId="239" priority="4" operator="equal">
      <formula>"⚠"</formula>
    </cfRule>
  </conditionalFormatting>
  <conditionalFormatting sqref="F18:O18">
    <cfRule type="cellIs" dxfId="238" priority="41" operator="equal">
      <formula>"PASS"</formula>
    </cfRule>
    <cfRule type="cellIs" dxfId="237" priority="42" operator="equal">
      <formula>"FAIL"</formula>
    </cfRule>
    <cfRule type="cellIs" dxfId="236" priority="43" operator="equal">
      <formula>"BLOCKED"</formula>
    </cfRule>
    <cfRule type="cellIs" dxfId="235" priority="44" operator="equal">
      <formula>"SKIP"</formula>
    </cfRule>
  </conditionalFormatting>
  <dataValidations count="2">
    <dataValidation type="list" allowBlank="1" promptTitle="Step Result" prompt="✅=Pass, ❌=Fail, ⏭=Skip, ⚠=Blocked" sqref="F9:O16" xr:uid="{00000000-0002-0000-0300-000000000000}">
      <formula1>"✅,❌,⏭,⚠"</formula1>
    </dataValidation>
    <dataValidation type="list" allowBlank="1" errorTitle="Invalid Status" error="Please select: PASS, FAIL, BLOCKED, SKIP, or N/A" promptTitle="Status" prompt="Select test result" sqref="F18:O18" xr:uid="{00000000-0002-0000-0300-00000A000000}">
      <formula1>"PASS,FAIL,BLOCKED,SKIP,N/A"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Q20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3" t="s">
        <v>228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229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82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83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230</v>
      </c>
      <c r="C9" s="23" t="s">
        <v>231</v>
      </c>
      <c r="D9" s="45" t="s">
        <v>232</v>
      </c>
      <c r="E9" s="23" t="s">
        <v>233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230</v>
      </c>
      <c r="C10" s="25" t="s">
        <v>234</v>
      </c>
      <c r="D10" s="48" t="s">
        <v>232</v>
      </c>
      <c r="E10" s="25" t="s">
        <v>235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212</v>
      </c>
      <c r="C11" s="23" t="s">
        <v>236</v>
      </c>
      <c r="D11" s="45" t="s">
        <v>217</v>
      </c>
      <c r="E11" s="23" t="s">
        <v>237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212</v>
      </c>
      <c r="C12" s="25" t="s">
        <v>238</v>
      </c>
      <c r="D12" s="48" t="s">
        <v>217</v>
      </c>
      <c r="E12" s="25" t="s">
        <v>239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230</v>
      </c>
      <c r="C13" s="23" t="s">
        <v>240</v>
      </c>
      <c r="D13" s="45" t="s">
        <v>232</v>
      </c>
      <c r="E13" s="23" t="s">
        <v>241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230</v>
      </c>
      <c r="C14" s="25" t="s">
        <v>242</v>
      </c>
      <c r="D14" s="48" t="s">
        <v>243</v>
      </c>
      <c r="E14" s="25" t="s">
        <v>244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230</v>
      </c>
      <c r="C15" s="23" t="s">
        <v>245</v>
      </c>
      <c r="D15" s="45" t="s">
        <v>243</v>
      </c>
      <c r="E15" s="23" t="s">
        <v>246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212</v>
      </c>
      <c r="C16" s="25" t="s">
        <v>247</v>
      </c>
      <c r="D16" s="48" t="s">
        <v>217</v>
      </c>
      <c r="E16" s="25" t="s">
        <v>248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212</v>
      </c>
      <c r="C17" s="23" t="s">
        <v>249</v>
      </c>
      <c r="D17" s="45" t="s">
        <v>217</v>
      </c>
      <c r="E17" s="23" t="s">
        <v>250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230</v>
      </c>
      <c r="C18" s="25" t="s">
        <v>251</v>
      </c>
      <c r="D18" s="48" t="s">
        <v>243</v>
      </c>
      <c r="E18" s="25" t="s">
        <v>252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20" spans="1:17" ht="27.95" customHeight="1" x14ac:dyDescent="0.25">
      <c r="A20" s="79" t="s">
        <v>227</v>
      </c>
      <c r="B20" s="80"/>
      <c r="C20" s="80"/>
      <c r="D20" s="80"/>
      <c r="E20" s="8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</row>
  </sheetData>
  <mergeCells count="6">
    <mergeCell ref="A20:E20"/>
    <mergeCell ref="B4:Q4"/>
    <mergeCell ref="B6:Q6"/>
    <mergeCell ref="A1:Q1"/>
    <mergeCell ref="B3:Q3"/>
    <mergeCell ref="B5:Q5"/>
  </mergeCells>
  <conditionalFormatting sqref="F9:O18">
    <cfRule type="cellIs" dxfId="234" priority="1" operator="equal">
      <formula>"✅"</formula>
    </cfRule>
    <cfRule type="cellIs" dxfId="233" priority="2" operator="equal">
      <formula>"❌"</formula>
    </cfRule>
    <cfRule type="cellIs" dxfId="232" priority="3" operator="equal">
      <formula>"⏭"</formula>
    </cfRule>
    <cfRule type="cellIs" dxfId="231" priority="4" operator="equal">
      <formula>"⚠"</formula>
    </cfRule>
  </conditionalFormatting>
  <conditionalFormatting sqref="F20:O20">
    <cfRule type="cellIs" dxfId="230" priority="41" operator="equal">
      <formula>"PASS"</formula>
    </cfRule>
    <cfRule type="cellIs" dxfId="229" priority="42" operator="equal">
      <formula>"FAIL"</formula>
    </cfRule>
    <cfRule type="cellIs" dxfId="228" priority="43" operator="equal">
      <formula>"BLOCKED"</formula>
    </cfRule>
    <cfRule type="cellIs" dxfId="227" priority="44" operator="equal">
      <formula>"SKIP"</formula>
    </cfRule>
  </conditionalFormatting>
  <dataValidations count="2">
    <dataValidation type="list" allowBlank="1" promptTitle="Step Result" prompt="✅=Pass, ❌=Fail, ⏭=Skip, ⚠=Blocked" sqref="F9:O18" xr:uid="{00000000-0002-0000-0400-000000000000}">
      <formula1>"✅,❌,⏭,⚠"</formula1>
    </dataValidation>
    <dataValidation type="list" allowBlank="1" errorTitle="Invalid Status" error="Please select: PASS, FAIL, BLOCKED, SKIP, or N/A" promptTitle="Status" prompt="Select test result" sqref="F20:O20" xr:uid="{00000000-0002-0000-0400-00000A000000}">
      <formula1>"PASS,FAIL,BLOCKED,SKIP,N/A"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34A"/>
  </sheetPr>
  <dimension ref="A1:Q22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2" t="s">
        <v>253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254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86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87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88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255</v>
      </c>
      <c r="C9" s="23" t="s">
        <v>256</v>
      </c>
      <c r="D9" s="45" t="s">
        <v>257</v>
      </c>
      <c r="E9" s="23" t="s">
        <v>258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255</v>
      </c>
      <c r="C10" s="25" t="s">
        <v>259</v>
      </c>
      <c r="D10" s="48" t="s">
        <v>257</v>
      </c>
      <c r="E10" s="25" t="s">
        <v>260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255</v>
      </c>
      <c r="C11" s="23" t="s">
        <v>261</v>
      </c>
      <c r="D11" s="45" t="s">
        <v>257</v>
      </c>
      <c r="E11" s="23" t="s">
        <v>262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255</v>
      </c>
      <c r="C12" s="25" t="s">
        <v>263</v>
      </c>
      <c r="D12" s="48" t="s">
        <v>257</v>
      </c>
      <c r="E12" s="25" t="s">
        <v>264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255</v>
      </c>
      <c r="C13" s="23" t="s">
        <v>261</v>
      </c>
      <c r="D13" s="45" t="s">
        <v>257</v>
      </c>
      <c r="E13" s="23" t="s">
        <v>265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255</v>
      </c>
      <c r="C14" s="25" t="s">
        <v>266</v>
      </c>
      <c r="D14" s="48" t="s">
        <v>257</v>
      </c>
      <c r="E14" s="25" t="s">
        <v>267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255</v>
      </c>
      <c r="C15" s="23" t="s">
        <v>268</v>
      </c>
      <c r="D15" s="45" t="s">
        <v>232</v>
      </c>
      <c r="E15" s="23" t="s">
        <v>269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212</v>
      </c>
      <c r="C16" s="25" t="s">
        <v>270</v>
      </c>
      <c r="D16" s="48" t="s">
        <v>217</v>
      </c>
      <c r="E16" s="25" t="s">
        <v>271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212</v>
      </c>
      <c r="C17" s="23" t="s">
        <v>272</v>
      </c>
      <c r="D17" s="45" t="s">
        <v>217</v>
      </c>
      <c r="E17" s="23" t="s">
        <v>273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255</v>
      </c>
      <c r="C18" s="25" t="s">
        <v>274</v>
      </c>
      <c r="D18" s="48" t="s">
        <v>232</v>
      </c>
      <c r="E18" s="25" t="s">
        <v>273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ht="30" customHeight="1" x14ac:dyDescent="0.25">
      <c r="A19" s="29">
        <v>11</v>
      </c>
      <c r="B19" s="44" t="s">
        <v>149</v>
      </c>
      <c r="C19" s="23" t="s">
        <v>275</v>
      </c>
      <c r="D19" s="45" t="s">
        <v>210</v>
      </c>
      <c r="E19" s="23" t="s">
        <v>276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17" ht="30" customHeight="1" x14ac:dyDescent="0.25">
      <c r="A20" s="33">
        <v>12</v>
      </c>
      <c r="B20" s="47" t="s">
        <v>149</v>
      </c>
      <c r="C20" s="25" t="s">
        <v>277</v>
      </c>
      <c r="D20" s="48" t="s">
        <v>225</v>
      </c>
      <c r="E20" s="25" t="s">
        <v>278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2" spans="1:17" ht="27.95" customHeight="1" x14ac:dyDescent="0.25">
      <c r="A22" s="79" t="s">
        <v>227</v>
      </c>
      <c r="B22" s="80"/>
      <c r="C22" s="80"/>
      <c r="D22" s="80"/>
      <c r="E22" s="8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</row>
  </sheetData>
  <mergeCells count="6">
    <mergeCell ref="B4:Q4"/>
    <mergeCell ref="B6:Q6"/>
    <mergeCell ref="A22:E22"/>
    <mergeCell ref="A1:Q1"/>
    <mergeCell ref="B3:Q3"/>
    <mergeCell ref="B5:Q5"/>
  </mergeCells>
  <conditionalFormatting sqref="F9:O20">
    <cfRule type="cellIs" dxfId="226" priority="1" operator="equal">
      <formula>"✅"</formula>
    </cfRule>
    <cfRule type="cellIs" dxfId="225" priority="2" operator="equal">
      <formula>"❌"</formula>
    </cfRule>
    <cfRule type="cellIs" dxfId="224" priority="3" operator="equal">
      <formula>"⏭"</formula>
    </cfRule>
    <cfRule type="cellIs" dxfId="223" priority="4" operator="equal">
      <formula>"⚠"</formula>
    </cfRule>
  </conditionalFormatting>
  <conditionalFormatting sqref="F22:O22">
    <cfRule type="cellIs" dxfId="222" priority="41" operator="equal">
      <formula>"PASS"</formula>
    </cfRule>
    <cfRule type="cellIs" dxfId="221" priority="42" operator="equal">
      <formula>"FAIL"</formula>
    </cfRule>
    <cfRule type="cellIs" dxfId="220" priority="43" operator="equal">
      <formula>"BLOCKED"</formula>
    </cfRule>
    <cfRule type="cellIs" dxfId="219" priority="44" operator="equal">
      <formula>"SKIP"</formula>
    </cfRule>
  </conditionalFormatting>
  <dataValidations count="2">
    <dataValidation type="list" allowBlank="1" promptTitle="Step Result" prompt="✅=Pass, ❌=Fail, ⏭=Skip, ⚠=Blocked" sqref="F9:O20" xr:uid="{00000000-0002-0000-0500-000000000000}">
      <formula1>"✅,❌,⏭,⚠"</formula1>
    </dataValidation>
    <dataValidation type="list" allowBlank="1" errorTitle="Invalid Status" error="Please select: PASS, FAIL, BLOCKED, SKIP, or N/A" promptTitle="Status" prompt="Select test result" sqref="F22:O22" xr:uid="{00000000-0002-0000-0500-00000A000000}">
      <formula1>"PASS,FAIL,BLOCKED,SKIP,N/A"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6B5C"/>
  </sheetPr>
  <dimension ref="A1:Q22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4" t="s">
        <v>279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280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91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92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93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281</v>
      </c>
      <c r="D9" s="45" t="s">
        <v>210</v>
      </c>
      <c r="E9" s="23" t="s">
        <v>282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283</v>
      </c>
      <c r="D10" s="48" t="s">
        <v>225</v>
      </c>
      <c r="E10" s="25" t="s">
        <v>284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285</v>
      </c>
      <c r="D11" s="45" t="s">
        <v>286</v>
      </c>
      <c r="E11" s="23" t="s">
        <v>287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288</v>
      </c>
      <c r="D12" s="48" t="s">
        <v>286</v>
      </c>
      <c r="E12" s="25" t="s">
        <v>289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149</v>
      </c>
      <c r="C13" s="23" t="s">
        <v>290</v>
      </c>
      <c r="D13" s="45" t="s">
        <v>291</v>
      </c>
      <c r="E13" s="23" t="s">
        <v>292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255</v>
      </c>
      <c r="C14" s="25" t="s">
        <v>293</v>
      </c>
      <c r="D14" s="48" t="s">
        <v>294</v>
      </c>
      <c r="E14" s="25" t="s">
        <v>295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255</v>
      </c>
      <c r="C15" s="23" t="s">
        <v>296</v>
      </c>
      <c r="D15" s="45" t="s">
        <v>232</v>
      </c>
      <c r="E15" s="23" t="s">
        <v>297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255</v>
      </c>
      <c r="C16" s="25" t="s">
        <v>298</v>
      </c>
      <c r="D16" s="48" t="s">
        <v>232</v>
      </c>
      <c r="E16" s="25" t="s">
        <v>299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149</v>
      </c>
      <c r="C17" s="23" t="s">
        <v>300</v>
      </c>
      <c r="D17" s="45" t="s">
        <v>301</v>
      </c>
      <c r="E17" s="23" t="s">
        <v>302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212</v>
      </c>
      <c r="C18" s="25" t="s">
        <v>303</v>
      </c>
      <c r="D18" s="48" t="s">
        <v>217</v>
      </c>
      <c r="E18" s="25" t="s">
        <v>304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ht="30" customHeight="1" x14ac:dyDescent="0.25">
      <c r="A19" s="29">
        <v>11</v>
      </c>
      <c r="B19" s="44" t="s">
        <v>212</v>
      </c>
      <c r="C19" s="23" t="s">
        <v>305</v>
      </c>
      <c r="D19" s="45" t="s">
        <v>217</v>
      </c>
      <c r="E19" s="23" t="s">
        <v>306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17" ht="30" customHeight="1" x14ac:dyDescent="0.25">
      <c r="A20" s="33">
        <v>12</v>
      </c>
      <c r="B20" s="47" t="s">
        <v>255</v>
      </c>
      <c r="C20" s="25" t="s">
        <v>307</v>
      </c>
      <c r="D20" s="48" t="s">
        <v>232</v>
      </c>
      <c r="E20" s="25" t="s">
        <v>308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2" spans="1:17" ht="27.95" customHeight="1" x14ac:dyDescent="0.25">
      <c r="A22" s="79" t="s">
        <v>227</v>
      </c>
      <c r="B22" s="80"/>
      <c r="C22" s="80"/>
      <c r="D22" s="80"/>
      <c r="E22" s="8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</row>
  </sheetData>
  <mergeCells count="6">
    <mergeCell ref="B4:Q4"/>
    <mergeCell ref="B6:Q6"/>
    <mergeCell ref="A22:E22"/>
    <mergeCell ref="A1:Q1"/>
    <mergeCell ref="B3:Q3"/>
    <mergeCell ref="B5:Q5"/>
  </mergeCells>
  <conditionalFormatting sqref="F9:O20">
    <cfRule type="cellIs" dxfId="218" priority="1" operator="equal">
      <formula>"✅"</formula>
    </cfRule>
    <cfRule type="cellIs" dxfId="217" priority="2" operator="equal">
      <formula>"❌"</formula>
    </cfRule>
    <cfRule type="cellIs" dxfId="216" priority="3" operator="equal">
      <formula>"⏭"</formula>
    </cfRule>
    <cfRule type="cellIs" dxfId="215" priority="4" operator="equal">
      <formula>"⚠"</formula>
    </cfRule>
  </conditionalFormatting>
  <conditionalFormatting sqref="F22:O22">
    <cfRule type="cellIs" dxfId="214" priority="41" operator="equal">
      <formula>"PASS"</formula>
    </cfRule>
    <cfRule type="cellIs" dxfId="213" priority="42" operator="equal">
      <formula>"FAIL"</formula>
    </cfRule>
    <cfRule type="cellIs" dxfId="212" priority="43" operator="equal">
      <formula>"BLOCKED"</formula>
    </cfRule>
    <cfRule type="cellIs" dxfId="211" priority="44" operator="equal">
      <formula>"SKIP"</formula>
    </cfRule>
  </conditionalFormatting>
  <dataValidations count="2">
    <dataValidation type="list" allowBlank="1" promptTitle="Step Result" prompt="✅=Pass, ❌=Fail, ⏭=Skip, ⚠=Blocked" sqref="F9:O20" xr:uid="{00000000-0002-0000-0600-000000000000}">
      <formula1>"✅,❌,⏭,⚠"</formula1>
    </dataValidation>
    <dataValidation type="list" allowBlank="1" errorTitle="Invalid Status" error="Please select: PASS, FAIL, BLOCKED, SKIP, or N/A" promptTitle="Status" prompt="Select test result" sqref="F22:O22" xr:uid="{00000000-0002-0000-0600-00000A000000}">
      <formula1>"PASS,FAIL,BLOCKED,SKIP,N/A"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D6B5C"/>
  </sheetPr>
  <dimension ref="A1:Q21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4" t="s">
        <v>309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310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96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92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97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311</v>
      </c>
      <c r="D9" s="45" t="s">
        <v>210</v>
      </c>
      <c r="E9" s="23" t="s">
        <v>312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313</v>
      </c>
      <c r="D10" s="48" t="s">
        <v>225</v>
      </c>
      <c r="E10" s="25" t="s">
        <v>314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315</v>
      </c>
      <c r="D11" s="45" t="s">
        <v>225</v>
      </c>
      <c r="E11" s="23" t="s">
        <v>316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317</v>
      </c>
      <c r="D12" s="48" t="s">
        <v>301</v>
      </c>
      <c r="E12" s="25" t="s">
        <v>318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255</v>
      </c>
      <c r="C13" s="23" t="s">
        <v>293</v>
      </c>
      <c r="D13" s="45" t="s">
        <v>319</v>
      </c>
      <c r="E13" s="23" t="s">
        <v>320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255</v>
      </c>
      <c r="C14" s="25" t="s">
        <v>321</v>
      </c>
      <c r="D14" s="48" t="s">
        <v>232</v>
      </c>
      <c r="E14" s="25" t="s">
        <v>322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255</v>
      </c>
      <c r="C15" s="23" t="s">
        <v>323</v>
      </c>
      <c r="D15" s="45" t="s">
        <v>232</v>
      </c>
      <c r="E15" s="23" t="s">
        <v>324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149</v>
      </c>
      <c r="C16" s="25" t="s">
        <v>325</v>
      </c>
      <c r="D16" s="48" t="s">
        <v>301</v>
      </c>
      <c r="E16" s="25" t="s">
        <v>326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149</v>
      </c>
      <c r="C17" s="23" t="s">
        <v>327</v>
      </c>
      <c r="D17" s="45" t="s">
        <v>301</v>
      </c>
      <c r="E17" s="23" t="s">
        <v>328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149</v>
      </c>
      <c r="C18" s="25" t="s">
        <v>329</v>
      </c>
      <c r="D18" s="48" t="s">
        <v>291</v>
      </c>
      <c r="E18" s="25" t="s">
        <v>330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ht="30" customHeight="1" x14ac:dyDescent="0.25">
      <c r="A19" s="29">
        <v>11</v>
      </c>
      <c r="B19" s="44" t="s">
        <v>255</v>
      </c>
      <c r="C19" s="23" t="s">
        <v>307</v>
      </c>
      <c r="D19" s="45" t="s">
        <v>232</v>
      </c>
      <c r="E19" s="23" t="s">
        <v>331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1" spans="1:17" ht="27.95" customHeight="1" x14ac:dyDescent="0.25">
      <c r="A21" s="79" t="s">
        <v>227</v>
      </c>
      <c r="B21" s="80"/>
      <c r="C21" s="80"/>
      <c r="D21" s="80"/>
      <c r="E21" s="8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</row>
  </sheetData>
  <mergeCells count="6">
    <mergeCell ref="A21:E21"/>
    <mergeCell ref="B4:Q4"/>
    <mergeCell ref="B6:Q6"/>
    <mergeCell ref="A1:Q1"/>
    <mergeCell ref="B3:Q3"/>
    <mergeCell ref="B5:Q5"/>
  </mergeCells>
  <conditionalFormatting sqref="F9:O19">
    <cfRule type="cellIs" dxfId="210" priority="1" operator="equal">
      <formula>"✅"</formula>
    </cfRule>
    <cfRule type="cellIs" dxfId="209" priority="2" operator="equal">
      <formula>"❌"</formula>
    </cfRule>
    <cfRule type="cellIs" dxfId="208" priority="3" operator="equal">
      <formula>"⏭"</formula>
    </cfRule>
    <cfRule type="cellIs" dxfId="207" priority="4" operator="equal">
      <formula>"⚠"</formula>
    </cfRule>
  </conditionalFormatting>
  <conditionalFormatting sqref="F21:O21">
    <cfRule type="cellIs" dxfId="206" priority="41" operator="equal">
      <formula>"PASS"</formula>
    </cfRule>
    <cfRule type="cellIs" dxfId="205" priority="42" operator="equal">
      <formula>"FAIL"</formula>
    </cfRule>
    <cfRule type="cellIs" dxfId="204" priority="43" operator="equal">
      <formula>"BLOCKED"</formula>
    </cfRule>
    <cfRule type="cellIs" dxfId="203" priority="44" operator="equal">
      <formula>"SKIP"</formula>
    </cfRule>
  </conditionalFormatting>
  <dataValidations count="2">
    <dataValidation type="list" allowBlank="1" promptTitle="Step Result" prompt="✅=Pass, ❌=Fail, ⏭=Skip, ⚠=Blocked" sqref="F9:O19" xr:uid="{00000000-0002-0000-0700-000000000000}">
      <formula1>"✅,❌,⏭,⚠"</formula1>
    </dataValidation>
    <dataValidation type="list" allowBlank="1" errorTitle="Invalid Status" error="Please select: PASS, FAIL, BLOCKED, SKIP, or N/A" promptTitle="Status" prompt="Select test result" sqref="F21:O21" xr:uid="{00000000-0002-0000-0700-00000A000000}">
      <formula1>"PASS,FAIL,BLOCKED,SKIP,N/A"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D6B5C"/>
  </sheetPr>
  <dimension ref="A1:Q20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4" t="s">
        <v>332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333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100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92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101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334</v>
      </c>
      <c r="C9" s="23" t="s">
        <v>335</v>
      </c>
      <c r="D9" s="45" t="s">
        <v>336</v>
      </c>
      <c r="E9" s="23" t="s">
        <v>337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334</v>
      </c>
      <c r="C10" s="25" t="s">
        <v>338</v>
      </c>
      <c r="D10" s="48" t="s">
        <v>336</v>
      </c>
      <c r="E10" s="25" t="s">
        <v>339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340</v>
      </c>
      <c r="C11" s="23" t="s">
        <v>341</v>
      </c>
      <c r="D11" s="45" t="s">
        <v>232</v>
      </c>
      <c r="E11" s="23" t="s">
        <v>342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340</v>
      </c>
      <c r="C12" s="25" t="s">
        <v>343</v>
      </c>
      <c r="D12" s="48" t="s">
        <v>232</v>
      </c>
      <c r="E12" s="25" t="s">
        <v>344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340</v>
      </c>
      <c r="C13" s="23" t="s">
        <v>345</v>
      </c>
      <c r="D13" s="45" t="s">
        <v>232</v>
      </c>
      <c r="E13" s="23" t="s">
        <v>346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334</v>
      </c>
      <c r="C14" s="25" t="s">
        <v>347</v>
      </c>
      <c r="D14" s="48" t="s">
        <v>319</v>
      </c>
      <c r="E14" s="25" t="s">
        <v>348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334</v>
      </c>
      <c r="C15" s="23" t="s">
        <v>317</v>
      </c>
      <c r="D15" s="45" t="s">
        <v>301</v>
      </c>
      <c r="E15" s="23" t="s">
        <v>349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334</v>
      </c>
      <c r="C16" s="25" t="s">
        <v>350</v>
      </c>
      <c r="D16" s="48" t="s">
        <v>301</v>
      </c>
      <c r="E16" s="25" t="s">
        <v>351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334</v>
      </c>
      <c r="C17" s="23" t="s">
        <v>329</v>
      </c>
      <c r="D17" s="45" t="s">
        <v>291</v>
      </c>
      <c r="E17" s="23" t="s">
        <v>352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340</v>
      </c>
      <c r="C18" s="25" t="s">
        <v>353</v>
      </c>
      <c r="D18" s="48" t="s">
        <v>232</v>
      </c>
      <c r="E18" s="25" t="s">
        <v>354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20" spans="1:17" ht="27.95" customHeight="1" x14ac:dyDescent="0.25">
      <c r="A20" s="79" t="s">
        <v>227</v>
      </c>
      <c r="B20" s="80"/>
      <c r="C20" s="80"/>
      <c r="D20" s="80"/>
      <c r="E20" s="8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</row>
  </sheetData>
  <mergeCells count="6">
    <mergeCell ref="A20:E20"/>
    <mergeCell ref="B4:Q4"/>
    <mergeCell ref="B6:Q6"/>
    <mergeCell ref="A1:Q1"/>
    <mergeCell ref="B3:Q3"/>
    <mergeCell ref="B5:Q5"/>
  </mergeCells>
  <conditionalFormatting sqref="F9:O18">
    <cfRule type="cellIs" dxfId="202" priority="1" operator="equal">
      <formula>"✅"</formula>
    </cfRule>
    <cfRule type="cellIs" dxfId="201" priority="2" operator="equal">
      <formula>"❌"</formula>
    </cfRule>
    <cfRule type="cellIs" dxfId="200" priority="3" operator="equal">
      <formula>"⏭"</formula>
    </cfRule>
    <cfRule type="cellIs" dxfId="199" priority="4" operator="equal">
      <formula>"⚠"</formula>
    </cfRule>
  </conditionalFormatting>
  <conditionalFormatting sqref="F20:O20">
    <cfRule type="cellIs" dxfId="198" priority="41" operator="equal">
      <formula>"PASS"</formula>
    </cfRule>
    <cfRule type="cellIs" dxfId="197" priority="42" operator="equal">
      <formula>"FAIL"</formula>
    </cfRule>
    <cfRule type="cellIs" dxfId="196" priority="43" operator="equal">
      <formula>"BLOCKED"</formula>
    </cfRule>
    <cfRule type="cellIs" dxfId="195" priority="44" operator="equal">
      <formula>"SKIP"</formula>
    </cfRule>
  </conditionalFormatting>
  <dataValidations count="2">
    <dataValidation type="list" allowBlank="1" promptTitle="Step Result" prompt="✅=Pass, ❌=Fail, ⏭=Skip, ⚠=Blocked" sqref="F9:O18" xr:uid="{00000000-0002-0000-0800-000000000000}">
      <formula1>"✅,❌,⏭,⚠"</formula1>
    </dataValidation>
    <dataValidation type="list" allowBlank="1" errorTitle="Invalid Status" error="Please select: PASS, FAIL, BLOCKED, SKIP, or N/A" promptTitle="Status" prompt="Select test result" sqref="F20:O20" xr:uid="{00000000-0002-0000-0800-00000A000000}">
      <formula1>"PASS,FAIL,BLOCKED,SKIP,N/A"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563EB"/>
  </sheetPr>
  <dimension ref="A1:Q1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5" t="s">
        <v>355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356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104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105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106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357</v>
      </c>
      <c r="C9" s="23" t="s">
        <v>358</v>
      </c>
      <c r="D9" s="45" t="s">
        <v>225</v>
      </c>
      <c r="E9" s="23" t="s">
        <v>359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357</v>
      </c>
      <c r="C10" s="25" t="s">
        <v>360</v>
      </c>
      <c r="D10" s="48" t="s">
        <v>225</v>
      </c>
      <c r="E10" s="25" t="s">
        <v>361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362</v>
      </c>
      <c r="C11" s="23" t="s">
        <v>293</v>
      </c>
      <c r="D11" s="45" t="s">
        <v>319</v>
      </c>
      <c r="E11" s="23" t="s">
        <v>363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362</v>
      </c>
      <c r="C12" s="25" t="s">
        <v>364</v>
      </c>
      <c r="D12" s="48" t="s">
        <v>365</v>
      </c>
      <c r="E12" s="25" t="s">
        <v>366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362</v>
      </c>
      <c r="C13" s="23" t="s">
        <v>367</v>
      </c>
      <c r="D13" s="45" t="s">
        <v>365</v>
      </c>
      <c r="E13" s="23" t="s">
        <v>368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357</v>
      </c>
      <c r="C14" s="25" t="s">
        <v>369</v>
      </c>
      <c r="D14" s="48" t="s">
        <v>365</v>
      </c>
      <c r="E14" s="25" t="s">
        <v>370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357</v>
      </c>
      <c r="C15" s="23" t="s">
        <v>371</v>
      </c>
      <c r="D15" s="45" t="s">
        <v>365</v>
      </c>
      <c r="E15" s="23" t="s">
        <v>372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7" spans="1:16" ht="27.95" customHeight="1" x14ac:dyDescent="0.25">
      <c r="A17" s="79" t="s">
        <v>227</v>
      </c>
      <c r="B17" s="80"/>
      <c r="C17" s="80"/>
      <c r="D17" s="80"/>
      <c r="E17" s="8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</row>
  </sheetData>
  <mergeCells count="6">
    <mergeCell ref="B4:Q4"/>
    <mergeCell ref="B6:Q6"/>
    <mergeCell ref="A17:E17"/>
    <mergeCell ref="A1:Q1"/>
    <mergeCell ref="B3:Q3"/>
    <mergeCell ref="B5:Q5"/>
  </mergeCells>
  <conditionalFormatting sqref="F9:O15">
    <cfRule type="cellIs" dxfId="194" priority="1" operator="equal">
      <formula>"✅"</formula>
    </cfRule>
    <cfRule type="cellIs" dxfId="193" priority="2" operator="equal">
      <formula>"❌"</formula>
    </cfRule>
    <cfRule type="cellIs" dxfId="192" priority="3" operator="equal">
      <formula>"⏭"</formula>
    </cfRule>
    <cfRule type="cellIs" dxfId="191" priority="4" operator="equal">
      <formula>"⚠"</formula>
    </cfRule>
  </conditionalFormatting>
  <conditionalFormatting sqref="F17:O17">
    <cfRule type="cellIs" dxfId="190" priority="41" operator="equal">
      <formula>"PASS"</formula>
    </cfRule>
    <cfRule type="cellIs" dxfId="189" priority="42" operator="equal">
      <formula>"FAIL"</formula>
    </cfRule>
    <cfRule type="cellIs" dxfId="188" priority="43" operator="equal">
      <formula>"BLOCKED"</formula>
    </cfRule>
    <cfRule type="cellIs" dxfId="187" priority="44" operator="equal">
      <formula>"SKIP"</formula>
    </cfRule>
  </conditionalFormatting>
  <dataValidations count="2">
    <dataValidation type="list" allowBlank="1" promptTitle="Step Result" prompt="✅=Pass, ❌=Fail, ⏭=Skip, ⚠=Blocked" sqref="F9:O15" xr:uid="{00000000-0002-0000-0900-000000000000}">
      <formula1>"✅,❌,⏭,⚠"</formula1>
    </dataValidation>
    <dataValidation type="list" allowBlank="1" errorTitle="Invalid Status" error="Please select: PASS, FAIL, BLOCKED, SKIP, or N/A" promptTitle="Status" prompt="Select test result" sqref="F17:O17" xr:uid="{00000000-0002-0000-0900-00000A000000}">
      <formula1>"PASS,FAIL,BLOCKED,SKIP,N/A"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563EB"/>
  </sheetPr>
  <dimension ref="A1:Q16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5" t="s">
        <v>373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374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96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105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109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375</v>
      </c>
      <c r="D9" s="45" t="s">
        <v>301</v>
      </c>
      <c r="E9" s="23" t="s">
        <v>376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377</v>
      </c>
      <c r="D10" s="48" t="s">
        <v>301</v>
      </c>
      <c r="E10" s="25" t="s">
        <v>378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255</v>
      </c>
      <c r="C11" s="23" t="s">
        <v>379</v>
      </c>
      <c r="D11" s="45" t="s">
        <v>319</v>
      </c>
      <c r="E11" s="23" t="s">
        <v>380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255</v>
      </c>
      <c r="C12" s="25" t="s">
        <v>381</v>
      </c>
      <c r="D12" s="48" t="s">
        <v>232</v>
      </c>
      <c r="E12" s="25" t="s">
        <v>366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255</v>
      </c>
      <c r="C13" s="23" t="s">
        <v>382</v>
      </c>
      <c r="D13" s="45" t="s">
        <v>232</v>
      </c>
      <c r="E13" s="23" t="s">
        <v>383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149</v>
      </c>
      <c r="C14" s="25" t="s">
        <v>384</v>
      </c>
      <c r="D14" s="48" t="s">
        <v>301</v>
      </c>
      <c r="E14" s="25" t="s">
        <v>385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6" spans="1:17" ht="27.95" customHeight="1" x14ac:dyDescent="0.25">
      <c r="A16" s="79" t="s">
        <v>227</v>
      </c>
      <c r="B16" s="80"/>
      <c r="C16" s="80"/>
      <c r="D16" s="80"/>
      <c r="E16" s="8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</row>
  </sheetData>
  <mergeCells count="6">
    <mergeCell ref="A16:E16"/>
    <mergeCell ref="B4:Q4"/>
    <mergeCell ref="B6:Q6"/>
    <mergeCell ref="A1:Q1"/>
    <mergeCell ref="B3:Q3"/>
    <mergeCell ref="B5:Q5"/>
  </mergeCells>
  <conditionalFormatting sqref="F9:O14">
    <cfRule type="cellIs" dxfId="186" priority="1" operator="equal">
      <formula>"✅"</formula>
    </cfRule>
    <cfRule type="cellIs" dxfId="185" priority="2" operator="equal">
      <formula>"❌"</formula>
    </cfRule>
    <cfRule type="cellIs" dxfId="184" priority="3" operator="equal">
      <formula>"⏭"</formula>
    </cfRule>
    <cfRule type="cellIs" dxfId="183" priority="4" operator="equal">
      <formula>"⚠"</formula>
    </cfRule>
  </conditionalFormatting>
  <conditionalFormatting sqref="F16:O16">
    <cfRule type="cellIs" dxfId="182" priority="41" operator="equal">
      <formula>"PASS"</formula>
    </cfRule>
    <cfRule type="cellIs" dxfId="181" priority="42" operator="equal">
      <formula>"FAIL"</formula>
    </cfRule>
    <cfRule type="cellIs" dxfId="180" priority="43" operator="equal">
      <formula>"BLOCKED"</formula>
    </cfRule>
    <cfRule type="cellIs" dxfId="179" priority="44" operator="equal">
      <formula>"SKIP"</formula>
    </cfRule>
  </conditionalFormatting>
  <dataValidations count="2">
    <dataValidation type="list" allowBlank="1" promptTitle="Step Result" prompt="✅=Pass, ❌=Fail, ⏭=Skip, ⚠=Blocked" sqref="F9:O14" xr:uid="{00000000-0002-0000-0A00-000000000000}">
      <formula1>"✅,❌,⏭,⚠"</formula1>
    </dataValidation>
    <dataValidation type="list" allowBlank="1" errorTitle="Invalid Status" error="Please select: PASS, FAIL, BLOCKED, SKIP, or N/A" promptTitle="Status" prompt="Select test result" sqref="F16:O16" xr:uid="{00000000-0002-0000-0A00-00000A000000}">
      <formula1>"PASS,FAIL,BLOCKED,SKIP,N/A"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563EB"/>
  </sheetPr>
  <dimension ref="A1:Q18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5" t="s">
        <v>386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387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91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109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388</v>
      </c>
      <c r="D9" s="45" t="s">
        <v>301</v>
      </c>
      <c r="E9" s="23" t="s">
        <v>389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390</v>
      </c>
      <c r="D10" s="48" t="s">
        <v>301</v>
      </c>
      <c r="E10" s="25" t="s">
        <v>391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392</v>
      </c>
      <c r="D11" s="45" t="s">
        <v>301</v>
      </c>
      <c r="E11" s="23" t="s">
        <v>393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394</v>
      </c>
      <c r="D12" s="48" t="s">
        <v>301</v>
      </c>
      <c r="E12" s="25" t="s">
        <v>395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255</v>
      </c>
      <c r="C13" s="23" t="s">
        <v>396</v>
      </c>
      <c r="D13" s="45" t="s">
        <v>319</v>
      </c>
      <c r="E13" s="23" t="s">
        <v>397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255</v>
      </c>
      <c r="C14" s="25" t="s">
        <v>296</v>
      </c>
      <c r="D14" s="48" t="s">
        <v>232</v>
      </c>
      <c r="E14" s="25" t="s">
        <v>398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212</v>
      </c>
      <c r="C15" s="23" t="s">
        <v>399</v>
      </c>
      <c r="D15" s="45" t="s">
        <v>217</v>
      </c>
      <c r="E15" s="23" t="s">
        <v>400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212</v>
      </c>
      <c r="C16" s="25" t="s">
        <v>401</v>
      </c>
      <c r="D16" s="48" t="s">
        <v>217</v>
      </c>
      <c r="E16" s="25" t="s">
        <v>402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8" spans="1:16" ht="27.95" customHeight="1" x14ac:dyDescent="0.25">
      <c r="A18" s="79" t="s">
        <v>227</v>
      </c>
      <c r="B18" s="80"/>
      <c r="C18" s="80"/>
      <c r="D18" s="80"/>
      <c r="E18" s="8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1"/>
    </row>
  </sheetData>
  <mergeCells count="6">
    <mergeCell ref="A18:E18"/>
    <mergeCell ref="B4:Q4"/>
    <mergeCell ref="B6:Q6"/>
    <mergeCell ref="A1:Q1"/>
    <mergeCell ref="B3:Q3"/>
    <mergeCell ref="B5:Q5"/>
  </mergeCells>
  <conditionalFormatting sqref="F9:O16">
    <cfRule type="cellIs" dxfId="178" priority="1" operator="equal">
      <formula>"✅"</formula>
    </cfRule>
    <cfRule type="cellIs" dxfId="177" priority="2" operator="equal">
      <formula>"❌"</formula>
    </cfRule>
    <cfRule type="cellIs" dxfId="176" priority="3" operator="equal">
      <formula>"⏭"</formula>
    </cfRule>
    <cfRule type="cellIs" dxfId="175" priority="4" operator="equal">
      <formula>"⚠"</formula>
    </cfRule>
  </conditionalFormatting>
  <conditionalFormatting sqref="F18:O18">
    <cfRule type="cellIs" dxfId="174" priority="41" operator="equal">
      <formula>"PASS"</formula>
    </cfRule>
    <cfRule type="cellIs" dxfId="173" priority="42" operator="equal">
      <formula>"FAIL"</formula>
    </cfRule>
    <cfRule type="cellIs" dxfId="172" priority="43" operator="equal">
      <formula>"BLOCKED"</formula>
    </cfRule>
    <cfRule type="cellIs" dxfId="171" priority="44" operator="equal">
      <formula>"SKIP"</formula>
    </cfRule>
  </conditionalFormatting>
  <dataValidations count="2">
    <dataValidation type="list" allowBlank="1" promptTitle="Step Result" prompt="✅=Pass, ❌=Fail, ⏭=Skip, ⚠=Blocked" sqref="F9:O16" xr:uid="{00000000-0002-0000-0B00-000000000000}">
      <formula1>"✅,❌,⏭,⚠"</formula1>
    </dataValidation>
    <dataValidation type="list" allowBlank="1" errorTitle="Invalid Status" error="Please select: PASS, FAIL, BLOCKED, SKIP, or N/A" promptTitle="Status" prompt="Select test result" sqref="F18:O18" xr:uid="{00000000-0002-0000-0B00-00000A000000}">
      <formula1>"PASS,FAIL,BLOCKED,SKIP,N/A"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563EB"/>
  </sheetPr>
  <dimension ref="A1:Q1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5" t="s">
        <v>403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404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114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115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255</v>
      </c>
      <c r="C9" s="23" t="s">
        <v>405</v>
      </c>
      <c r="D9" s="45" t="s">
        <v>232</v>
      </c>
      <c r="E9" s="23" t="s">
        <v>406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255</v>
      </c>
      <c r="C10" s="25" t="s">
        <v>407</v>
      </c>
      <c r="D10" s="48" t="s">
        <v>232</v>
      </c>
      <c r="E10" s="25" t="s">
        <v>408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255</v>
      </c>
      <c r="C11" s="23" t="s">
        <v>409</v>
      </c>
      <c r="D11" s="45" t="s">
        <v>232</v>
      </c>
      <c r="E11" s="23" t="s">
        <v>410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300</v>
      </c>
      <c r="D12" s="48" t="s">
        <v>301</v>
      </c>
      <c r="E12" s="25" t="s">
        <v>411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149</v>
      </c>
      <c r="C13" s="23" t="s">
        <v>412</v>
      </c>
      <c r="D13" s="45" t="s">
        <v>319</v>
      </c>
      <c r="E13" s="23" t="s">
        <v>413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212</v>
      </c>
      <c r="C14" s="25" t="s">
        <v>399</v>
      </c>
      <c r="D14" s="48" t="s">
        <v>217</v>
      </c>
      <c r="E14" s="25" t="s">
        <v>414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255</v>
      </c>
      <c r="C15" s="23" t="s">
        <v>415</v>
      </c>
      <c r="D15" s="45" t="s">
        <v>232</v>
      </c>
      <c r="E15" s="23" t="s">
        <v>416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7" spans="1:16" ht="27.95" customHeight="1" x14ac:dyDescent="0.25">
      <c r="A17" s="79" t="s">
        <v>227</v>
      </c>
      <c r="B17" s="80"/>
      <c r="C17" s="80"/>
      <c r="D17" s="80"/>
      <c r="E17" s="8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</row>
  </sheetData>
  <mergeCells count="6">
    <mergeCell ref="B4:Q4"/>
    <mergeCell ref="B6:Q6"/>
    <mergeCell ref="A17:E17"/>
    <mergeCell ref="A1:Q1"/>
    <mergeCell ref="B3:Q3"/>
    <mergeCell ref="B5:Q5"/>
  </mergeCells>
  <conditionalFormatting sqref="F9:O15">
    <cfRule type="cellIs" dxfId="170" priority="1" operator="equal">
      <formula>"✅"</formula>
    </cfRule>
    <cfRule type="cellIs" dxfId="169" priority="2" operator="equal">
      <formula>"❌"</formula>
    </cfRule>
    <cfRule type="cellIs" dxfId="168" priority="3" operator="equal">
      <formula>"⏭"</formula>
    </cfRule>
    <cfRule type="cellIs" dxfId="167" priority="4" operator="equal">
      <formula>"⚠"</formula>
    </cfRule>
  </conditionalFormatting>
  <conditionalFormatting sqref="F17:O17">
    <cfRule type="cellIs" dxfId="166" priority="41" operator="equal">
      <formula>"PASS"</formula>
    </cfRule>
    <cfRule type="cellIs" dxfId="165" priority="42" operator="equal">
      <formula>"FAIL"</formula>
    </cfRule>
    <cfRule type="cellIs" dxfId="164" priority="43" operator="equal">
      <formula>"BLOCKED"</formula>
    </cfRule>
    <cfRule type="cellIs" dxfId="163" priority="44" operator="equal">
      <formula>"SKIP"</formula>
    </cfRule>
  </conditionalFormatting>
  <dataValidations count="2">
    <dataValidation type="list" allowBlank="1" promptTitle="Step Result" prompt="✅=Pass, ❌=Fail, ⏭=Skip, ⚠=Blocked" sqref="F9:O15" xr:uid="{00000000-0002-0000-0C00-000000000000}">
      <formula1>"✅,❌,⏭,⚠"</formula1>
    </dataValidation>
    <dataValidation type="list" allowBlank="1" errorTitle="Invalid Status" error="Please select: PASS, FAIL, BLOCKED, SKIP, or N/A" promptTitle="Status" prompt="Select test result" sqref="F17:O17" xr:uid="{00000000-0002-0000-0C00-00000A000000}">
      <formula1>"PASS,FAIL,BLOCKED,SKIP,N/A"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563EB"/>
  </sheetPr>
  <dimension ref="A1:Q18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5" t="s">
        <v>417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418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118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87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119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419</v>
      </c>
      <c r="D9" s="45" t="s">
        <v>420</v>
      </c>
      <c r="E9" s="23" t="s">
        <v>421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422</v>
      </c>
      <c r="D10" s="48" t="s">
        <v>222</v>
      </c>
      <c r="E10" s="25" t="s">
        <v>423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424</v>
      </c>
      <c r="D11" s="45" t="s">
        <v>222</v>
      </c>
      <c r="E11" s="23" t="s">
        <v>425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426</v>
      </c>
      <c r="D12" s="48" t="s">
        <v>301</v>
      </c>
      <c r="E12" s="25" t="s">
        <v>427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212</v>
      </c>
      <c r="C13" s="23" t="s">
        <v>428</v>
      </c>
      <c r="D13" s="45" t="s">
        <v>217</v>
      </c>
      <c r="E13" s="23" t="s">
        <v>429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212</v>
      </c>
      <c r="C14" s="25" t="s">
        <v>430</v>
      </c>
      <c r="D14" s="48" t="s">
        <v>217</v>
      </c>
      <c r="E14" s="25" t="s">
        <v>431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212</v>
      </c>
      <c r="C15" s="23" t="s">
        <v>432</v>
      </c>
      <c r="D15" s="45" t="s">
        <v>217</v>
      </c>
      <c r="E15" s="23" t="s">
        <v>433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149</v>
      </c>
      <c r="C16" s="25" t="s">
        <v>434</v>
      </c>
      <c r="D16" s="48" t="s">
        <v>301</v>
      </c>
      <c r="E16" s="25" t="s">
        <v>435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8" spans="1:16" ht="27.95" customHeight="1" x14ac:dyDescent="0.25">
      <c r="A18" s="79" t="s">
        <v>227</v>
      </c>
      <c r="B18" s="80"/>
      <c r="C18" s="80"/>
      <c r="D18" s="80"/>
      <c r="E18" s="8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1"/>
    </row>
  </sheetData>
  <mergeCells count="6">
    <mergeCell ref="A18:E18"/>
    <mergeCell ref="B4:Q4"/>
    <mergeCell ref="B6:Q6"/>
    <mergeCell ref="A1:Q1"/>
    <mergeCell ref="B3:Q3"/>
    <mergeCell ref="B5:Q5"/>
  </mergeCells>
  <conditionalFormatting sqref="F9:O16">
    <cfRule type="cellIs" dxfId="162" priority="1" operator="equal">
      <formula>"✅"</formula>
    </cfRule>
    <cfRule type="cellIs" dxfId="161" priority="2" operator="equal">
      <formula>"❌"</formula>
    </cfRule>
    <cfRule type="cellIs" dxfId="160" priority="3" operator="equal">
      <formula>"⏭"</formula>
    </cfRule>
    <cfRule type="cellIs" dxfId="159" priority="4" operator="equal">
      <formula>"⚠"</formula>
    </cfRule>
  </conditionalFormatting>
  <conditionalFormatting sqref="F18:O18">
    <cfRule type="cellIs" dxfId="158" priority="41" operator="equal">
      <formula>"PASS"</formula>
    </cfRule>
    <cfRule type="cellIs" dxfId="157" priority="42" operator="equal">
      <formula>"FAIL"</formula>
    </cfRule>
    <cfRule type="cellIs" dxfId="156" priority="43" operator="equal">
      <formula>"BLOCKED"</formula>
    </cfRule>
    <cfRule type="cellIs" dxfId="155" priority="44" operator="equal">
      <formula>"SKIP"</formula>
    </cfRule>
  </conditionalFormatting>
  <dataValidations count="2">
    <dataValidation type="list" allowBlank="1" promptTitle="Step Result" prompt="✅=Pass, ❌=Fail, ⏭=Skip, ⚠=Blocked" sqref="F9:O16" xr:uid="{00000000-0002-0000-0D00-000000000000}">
      <formula1>"✅,❌,⏭,⚠"</formula1>
    </dataValidation>
    <dataValidation type="list" allowBlank="1" errorTitle="Invalid Status" error="Please select: PASS, FAIL, BLOCKED, SKIP, or N/A" promptTitle="Status" prompt="Select test result" sqref="F18:O18" xr:uid="{00000000-0002-0000-0D00-00000A000000}">
      <formula1>"PASS,FAIL,BLOCKED,SKIP,N/A"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86A4A"/>
  </sheetPr>
  <dimension ref="A1:Q1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6" t="s">
        <v>436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437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122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123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340</v>
      </c>
      <c r="C9" s="23" t="s">
        <v>438</v>
      </c>
      <c r="D9" s="45" t="s">
        <v>232</v>
      </c>
      <c r="E9" s="23" t="s">
        <v>439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340</v>
      </c>
      <c r="C10" s="25" t="s">
        <v>440</v>
      </c>
      <c r="D10" s="48" t="s">
        <v>232</v>
      </c>
      <c r="E10" s="25" t="s">
        <v>441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340</v>
      </c>
      <c r="C11" s="23" t="s">
        <v>442</v>
      </c>
      <c r="D11" s="45" t="s">
        <v>232</v>
      </c>
      <c r="E11" s="23" t="s">
        <v>443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340</v>
      </c>
      <c r="C12" s="25" t="s">
        <v>444</v>
      </c>
      <c r="D12" s="48" t="s">
        <v>232</v>
      </c>
      <c r="E12" s="25" t="s">
        <v>445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212</v>
      </c>
      <c r="C13" s="23" t="s">
        <v>446</v>
      </c>
      <c r="D13" s="45" t="s">
        <v>217</v>
      </c>
      <c r="E13" s="23" t="s">
        <v>447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212</v>
      </c>
      <c r="C14" s="25" t="s">
        <v>448</v>
      </c>
      <c r="D14" s="48" t="s">
        <v>217</v>
      </c>
      <c r="E14" s="25" t="s">
        <v>449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340</v>
      </c>
      <c r="C15" s="23" t="s">
        <v>450</v>
      </c>
      <c r="D15" s="45" t="s">
        <v>232</v>
      </c>
      <c r="E15" s="23" t="s">
        <v>451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7" spans="1:16" ht="27.95" customHeight="1" x14ac:dyDescent="0.25">
      <c r="A17" s="79" t="s">
        <v>227</v>
      </c>
      <c r="B17" s="80"/>
      <c r="C17" s="80"/>
      <c r="D17" s="80"/>
      <c r="E17" s="8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</row>
  </sheetData>
  <mergeCells count="6">
    <mergeCell ref="B4:Q4"/>
    <mergeCell ref="B6:Q6"/>
    <mergeCell ref="A17:E17"/>
    <mergeCell ref="A1:Q1"/>
    <mergeCell ref="B3:Q3"/>
    <mergeCell ref="B5:Q5"/>
  </mergeCells>
  <conditionalFormatting sqref="F9:O15">
    <cfRule type="cellIs" dxfId="154" priority="1" operator="equal">
      <formula>"✅"</formula>
    </cfRule>
    <cfRule type="cellIs" dxfId="153" priority="2" operator="equal">
      <formula>"❌"</formula>
    </cfRule>
    <cfRule type="cellIs" dxfId="152" priority="3" operator="equal">
      <formula>"⏭"</formula>
    </cfRule>
    <cfRule type="cellIs" dxfId="151" priority="4" operator="equal">
      <formula>"⚠"</formula>
    </cfRule>
  </conditionalFormatting>
  <conditionalFormatting sqref="F17:O17">
    <cfRule type="cellIs" dxfId="150" priority="41" operator="equal">
      <formula>"PASS"</formula>
    </cfRule>
    <cfRule type="cellIs" dxfId="149" priority="42" operator="equal">
      <formula>"FAIL"</formula>
    </cfRule>
    <cfRule type="cellIs" dxfId="148" priority="43" operator="equal">
      <formula>"BLOCKED"</formula>
    </cfRule>
    <cfRule type="cellIs" dxfId="147" priority="44" operator="equal">
      <formula>"SKIP"</formula>
    </cfRule>
  </conditionalFormatting>
  <dataValidations count="2">
    <dataValidation type="list" allowBlank="1" promptTitle="Step Result" prompt="✅=Pass, ❌=Fail, ⏭=Skip, ⚠=Blocked" sqref="F9:O15" xr:uid="{00000000-0002-0000-0E00-000000000000}">
      <formula1>"✅,❌,⏭,⚠"</formula1>
    </dataValidation>
    <dataValidation type="list" allowBlank="1" errorTitle="Invalid Status" error="Please select: PASS, FAIL, BLOCKED, SKIP, or N/A" promptTitle="Status" prompt="Select test result" sqref="F17:O17" xr:uid="{00000000-0002-0000-0E00-00000A000000}">
      <formula1>"PASS,FAIL,BLOCKED,SKIP,N/A"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86A4A"/>
  </sheetPr>
  <dimension ref="A1:Q1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6" t="s">
        <v>452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453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126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105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127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362</v>
      </c>
      <c r="C9" s="23" t="s">
        <v>454</v>
      </c>
      <c r="D9" s="45" t="s">
        <v>232</v>
      </c>
      <c r="E9" s="23" t="s">
        <v>455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362</v>
      </c>
      <c r="C10" s="25" t="s">
        <v>456</v>
      </c>
      <c r="D10" s="48" t="s">
        <v>232</v>
      </c>
      <c r="E10" s="25" t="s">
        <v>457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362</v>
      </c>
      <c r="C11" s="23" t="s">
        <v>458</v>
      </c>
      <c r="D11" s="45" t="s">
        <v>459</v>
      </c>
      <c r="E11" s="23" t="s">
        <v>460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362</v>
      </c>
      <c r="C12" s="25" t="s">
        <v>461</v>
      </c>
      <c r="D12" s="48" t="s">
        <v>462</v>
      </c>
      <c r="E12" s="25" t="s">
        <v>463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362</v>
      </c>
      <c r="C13" s="23" t="s">
        <v>464</v>
      </c>
      <c r="D13" s="45" t="s">
        <v>232</v>
      </c>
      <c r="E13" s="23" t="s">
        <v>465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362</v>
      </c>
      <c r="C14" s="25" t="s">
        <v>256</v>
      </c>
      <c r="D14" s="48" t="s">
        <v>257</v>
      </c>
      <c r="E14" s="25" t="s">
        <v>466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362</v>
      </c>
      <c r="C15" s="23" t="s">
        <v>467</v>
      </c>
      <c r="D15" s="45" t="s">
        <v>232</v>
      </c>
      <c r="E15" s="23" t="s">
        <v>468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7" spans="1:16" ht="27.95" customHeight="1" x14ac:dyDescent="0.25">
      <c r="A17" s="79" t="s">
        <v>227</v>
      </c>
      <c r="B17" s="80"/>
      <c r="C17" s="80"/>
      <c r="D17" s="80"/>
      <c r="E17" s="8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</row>
  </sheetData>
  <mergeCells count="6">
    <mergeCell ref="B4:Q4"/>
    <mergeCell ref="B6:Q6"/>
    <mergeCell ref="A17:E17"/>
    <mergeCell ref="A1:Q1"/>
    <mergeCell ref="B3:Q3"/>
    <mergeCell ref="B5:Q5"/>
  </mergeCells>
  <conditionalFormatting sqref="F9:O15">
    <cfRule type="cellIs" dxfId="146" priority="1" operator="equal">
      <formula>"✅"</formula>
    </cfRule>
    <cfRule type="cellIs" dxfId="145" priority="2" operator="equal">
      <formula>"❌"</formula>
    </cfRule>
    <cfRule type="cellIs" dxfId="144" priority="3" operator="equal">
      <formula>"⏭"</formula>
    </cfRule>
    <cfRule type="cellIs" dxfId="143" priority="4" operator="equal">
      <formula>"⚠"</formula>
    </cfRule>
  </conditionalFormatting>
  <conditionalFormatting sqref="F17:O17">
    <cfRule type="cellIs" dxfId="142" priority="41" operator="equal">
      <formula>"PASS"</formula>
    </cfRule>
    <cfRule type="cellIs" dxfId="141" priority="42" operator="equal">
      <formula>"FAIL"</formula>
    </cfRule>
    <cfRule type="cellIs" dxfId="140" priority="43" operator="equal">
      <formula>"BLOCKED"</formula>
    </cfRule>
    <cfRule type="cellIs" dxfId="139" priority="44" operator="equal">
      <formula>"SKIP"</formula>
    </cfRule>
  </conditionalFormatting>
  <dataValidations count="2">
    <dataValidation type="list" allowBlank="1" promptTitle="Step Result" prompt="✅=Pass, ❌=Fail, ⏭=Skip, ⚠=Blocked" sqref="F9:O15" xr:uid="{00000000-0002-0000-0F00-000000000000}">
      <formula1>"✅,❌,⏭,⚠"</formula1>
    </dataValidation>
    <dataValidation type="list" allowBlank="1" errorTitle="Invalid Status" error="Please select: PASS, FAIL, BLOCKED, SKIP, or N/A" promptTitle="Status" prompt="Select test result" sqref="F17:O17" xr:uid="{00000000-0002-0000-0F00-00000A000000}">
      <formula1>"PASS,FAIL,BLOCKED,SKIP,N/A"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86A4A"/>
  </sheetPr>
  <dimension ref="A1:Q15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6" t="s">
        <v>469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470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130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105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131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230</v>
      </c>
      <c r="C9" s="23" t="s">
        <v>471</v>
      </c>
      <c r="D9" s="45" t="s">
        <v>301</v>
      </c>
      <c r="E9" s="23" t="s">
        <v>472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230</v>
      </c>
      <c r="C10" s="25" t="s">
        <v>473</v>
      </c>
      <c r="D10" s="48" t="s">
        <v>301</v>
      </c>
      <c r="E10" s="25" t="s">
        <v>474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230</v>
      </c>
      <c r="C11" s="23" t="s">
        <v>475</v>
      </c>
      <c r="D11" s="45" t="s">
        <v>459</v>
      </c>
      <c r="E11" s="23" t="s">
        <v>476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230</v>
      </c>
      <c r="C12" s="25" t="s">
        <v>461</v>
      </c>
      <c r="D12" s="48" t="s">
        <v>462</v>
      </c>
      <c r="E12" s="25" t="s">
        <v>463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230</v>
      </c>
      <c r="C13" s="23" t="s">
        <v>477</v>
      </c>
      <c r="D13" s="45" t="s">
        <v>301</v>
      </c>
      <c r="E13" s="23" t="s">
        <v>478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5" spans="1:17" ht="27.95" customHeight="1" x14ac:dyDescent="0.25">
      <c r="A15" s="79" t="s">
        <v>227</v>
      </c>
      <c r="B15" s="80"/>
      <c r="C15" s="80"/>
      <c r="D15" s="80"/>
      <c r="E15" s="8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1"/>
    </row>
  </sheetData>
  <mergeCells count="6">
    <mergeCell ref="A15:E15"/>
    <mergeCell ref="B4:Q4"/>
    <mergeCell ref="B6:Q6"/>
    <mergeCell ref="A1:Q1"/>
    <mergeCell ref="B3:Q3"/>
    <mergeCell ref="B5:Q5"/>
  </mergeCells>
  <conditionalFormatting sqref="F9:O13">
    <cfRule type="cellIs" dxfId="138" priority="1" operator="equal">
      <formula>"✅"</formula>
    </cfRule>
    <cfRule type="cellIs" dxfId="137" priority="2" operator="equal">
      <formula>"❌"</formula>
    </cfRule>
    <cfRule type="cellIs" dxfId="136" priority="3" operator="equal">
      <formula>"⏭"</formula>
    </cfRule>
    <cfRule type="cellIs" dxfId="135" priority="4" operator="equal">
      <formula>"⚠"</formula>
    </cfRule>
  </conditionalFormatting>
  <conditionalFormatting sqref="F15:O15">
    <cfRule type="cellIs" dxfId="134" priority="41" operator="equal">
      <formula>"PASS"</formula>
    </cfRule>
    <cfRule type="cellIs" dxfId="133" priority="42" operator="equal">
      <formula>"FAIL"</formula>
    </cfRule>
    <cfRule type="cellIs" dxfId="132" priority="43" operator="equal">
      <formula>"BLOCKED"</formula>
    </cfRule>
    <cfRule type="cellIs" dxfId="131" priority="44" operator="equal">
      <formula>"SKIP"</formula>
    </cfRule>
  </conditionalFormatting>
  <dataValidations count="2">
    <dataValidation type="list" allowBlank="1" promptTitle="Step Result" prompt="✅=Pass, ❌=Fail, ⏭=Skip, ⚠=Blocked" sqref="F9:O13" xr:uid="{00000000-0002-0000-1000-000000000000}">
      <formula1>"✅,❌,⏭,⚠"</formula1>
    </dataValidation>
    <dataValidation type="list" allowBlank="1" errorTitle="Invalid Status" error="Please select: PASS, FAIL, BLOCKED, SKIP, or N/A" promptTitle="Status" prompt="Select test result" sqref="F15:O15" xr:uid="{00000000-0002-0000-1000-00000A000000}">
      <formula1>"PASS,FAIL,BLOCKED,SKIP,N/A"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86A4A"/>
  </sheetPr>
  <dimension ref="A1:Q16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6" t="s">
        <v>479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480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134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135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255</v>
      </c>
      <c r="C9" s="23" t="s">
        <v>481</v>
      </c>
      <c r="D9" s="45" t="s">
        <v>232</v>
      </c>
      <c r="E9" s="23" t="s">
        <v>482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255</v>
      </c>
      <c r="C10" s="25" t="s">
        <v>483</v>
      </c>
      <c r="D10" s="48" t="s">
        <v>232</v>
      </c>
      <c r="E10" s="25" t="s">
        <v>484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203</v>
      </c>
      <c r="C11" s="23" t="s">
        <v>485</v>
      </c>
      <c r="D11" s="45" t="s">
        <v>205</v>
      </c>
      <c r="E11" s="23" t="s">
        <v>486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203</v>
      </c>
      <c r="C12" s="25" t="s">
        <v>487</v>
      </c>
      <c r="D12" s="48" t="s">
        <v>205</v>
      </c>
      <c r="E12" s="25" t="s">
        <v>488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212</v>
      </c>
      <c r="C13" s="23" t="s">
        <v>489</v>
      </c>
      <c r="D13" s="45" t="s">
        <v>217</v>
      </c>
      <c r="E13" s="23" t="s">
        <v>490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255</v>
      </c>
      <c r="C14" s="25" t="s">
        <v>491</v>
      </c>
      <c r="D14" s="48" t="s">
        <v>232</v>
      </c>
      <c r="E14" s="25" t="s">
        <v>492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6" spans="1:17" ht="27.95" customHeight="1" x14ac:dyDescent="0.25">
      <c r="A16" s="79" t="s">
        <v>227</v>
      </c>
      <c r="B16" s="80"/>
      <c r="C16" s="80"/>
      <c r="D16" s="80"/>
      <c r="E16" s="8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</row>
  </sheetData>
  <mergeCells count="6">
    <mergeCell ref="A16:E16"/>
    <mergeCell ref="B4:Q4"/>
    <mergeCell ref="B6:Q6"/>
    <mergeCell ref="A1:Q1"/>
    <mergeCell ref="B3:Q3"/>
    <mergeCell ref="B5:Q5"/>
  </mergeCells>
  <conditionalFormatting sqref="F9:O14">
    <cfRule type="cellIs" dxfId="130" priority="1" operator="equal">
      <formula>"✅"</formula>
    </cfRule>
    <cfRule type="cellIs" dxfId="129" priority="2" operator="equal">
      <formula>"❌"</formula>
    </cfRule>
    <cfRule type="cellIs" dxfId="128" priority="3" operator="equal">
      <formula>"⏭"</formula>
    </cfRule>
    <cfRule type="cellIs" dxfId="127" priority="4" operator="equal">
      <formula>"⚠"</formula>
    </cfRule>
  </conditionalFormatting>
  <conditionalFormatting sqref="F16:O16">
    <cfRule type="cellIs" dxfId="126" priority="41" operator="equal">
      <formula>"PASS"</formula>
    </cfRule>
    <cfRule type="cellIs" dxfId="125" priority="42" operator="equal">
      <formula>"FAIL"</formula>
    </cfRule>
    <cfRule type="cellIs" dxfId="124" priority="43" operator="equal">
      <formula>"BLOCKED"</formula>
    </cfRule>
    <cfRule type="cellIs" dxfId="123" priority="44" operator="equal">
      <formula>"SKIP"</formula>
    </cfRule>
  </conditionalFormatting>
  <dataValidations count="2">
    <dataValidation type="list" allowBlank="1" promptTitle="Step Result" prompt="✅=Pass, ❌=Fail, ⏭=Skip, ⚠=Blocked" sqref="F9:O14" xr:uid="{00000000-0002-0000-1100-000000000000}">
      <formula1>"✅,❌,⏭,⚠"</formula1>
    </dataValidation>
    <dataValidation type="list" allowBlank="1" errorTitle="Invalid Status" error="Please select: PASS, FAIL, BLOCKED, SKIP, or N/A" promptTitle="Status" prompt="Select test result" sqref="F16:O16" xr:uid="{00000000-0002-0000-1100-00000A000000}">
      <formula1>"PASS,FAIL,BLOCKED,SKIP,N/A"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86A4A"/>
  </sheetPr>
  <dimension ref="A1:Q20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6" t="s">
        <v>493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494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138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139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495</v>
      </c>
      <c r="D9" s="45" t="s">
        <v>210</v>
      </c>
      <c r="E9" s="23" t="s">
        <v>496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497</v>
      </c>
      <c r="D10" s="48" t="s">
        <v>210</v>
      </c>
      <c r="E10" s="25" t="s">
        <v>498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499</v>
      </c>
      <c r="D11" s="45" t="s">
        <v>210</v>
      </c>
      <c r="E11" s="23" t="s">
        <v>500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501</v>
      </c>
      <c r="D12" s="48" t="s">
        <v>210</v>
      </c>
      <c r="E12" s="25" t="s">
        <v>502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149</v>
      </c>
      <c r="C13" s="23" t="s">
        <v>503</v>
      </c>
      <c r="D13" s="45" t="s">
        <v>210</v>
      </c>
      <c r="E13" s="23" t="s">
        <v>504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149</v>
      </c>
      <c r="C14" s="25" t="s">
        <v>505</v>
      </c>
      <c r="D14" s="48" t="s">
        <v>210</v>
      </c>
      <c r="E14" s="25" t="s">
        <v>506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149</v>
      </c>
      <c r="C15" s="23" t="s">
        <v>507</v>
      </c>
      <c r="D15" s="45" t="s">
        <v>210</v>
      </c>
      <c r="E15" s="23" t="s">
        <v>508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149</v>
      </c>
      <c r="C16" s="25" t="s">
        <v>509</v>
      </c>
      <c r="D16" s="48" t="s">
        <v>301</v>
      </c>
      <c r="E16" s="25" t="s">
        <v>510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149</v>
      </c>
      <c r="C17" s="23" t="s">
        <v>511</v>
      </c>
      <c r="D17" s="45" t="s">
        <v>511</v>
      </c>
      <c r="E17" s="23" t="s">
        <v>512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149</v>
      </c>
      <c r="C18" s="25" t="s">
        <v>513</v>
      </c>
      <c r="D18" s="48" t="s">
        <v>514</v>
      </c>
      <c r="E18" s="25" t="s">
        <v>515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20" spans="1:17" ht="27.95" customHeight="1" x14ac:dyDescent="0.25">
      <c r="A20" s="79" t="s">
        <v>227</v>
      </c>
      <c r="B20" s="80"/>
      <c r="C20" s="80"/>
      <c r="D20" s="80"/>
      <c r="E20" s="8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</row>
  </sheetData>
  <mergeCells count="6">
    <mergeCell ref="A20:E20"/>
    <mergeCell ref="B4:Q4"/>
    <mergeCell ref="B6:Q6"/>
    <mergeCell ref="A1:Q1"/>
    <mergeCell ref="B3:Q3"/>
    <mergeCell ref="B5:Q5"/>
  </mergeCells>
  <conditionalFormatting sqref="F9:O18">
    <cfRule type="cellIs" dxfId="122" priority="1" operator="equal">
      <formula>"✅"</formula>
    </cfRule>
    <cfRule type="cellIs" dxfId="121" priority="2" operator="equal">
      <formula>"❌"</formula>
    </cfRule>
    <cfRule type="cellIs" dxfId="120" priority="3" operator="equal">
      <formula>"⏭"</formula>
    </cfRule>
    <cfRule type="cellIs" dxfId="119" priority="4" operator="equal">
      <formula>"⚠"</formula>
    </cfRule>
  </conditionalFormatting>
  <conditionalFormatting sqref="F20:O20">
    <cfRule type="cellIs" dxfId="118" priority="41" operator="equal">
      <formula>"PASS"</formula>
    </cfRule>
    <cfRule type="cellIs" dxfId="117" priority="42" operator="equal">
      <formula>"FAIL"</formula>
    </cfRule>
    <cfRule type="cellIs" dxfId="116" priority="43" operator="equal">
      <formula>"BLOCKED"</formula>
    </cfRule>
    <cfRule type="cellIs" dxfId="115" priority="44" operator="equal">
      <formula>"SKIP"</formula>
    </cfRule>
  </conditionalFormatting>
  <dataValidations count="2">
    <dataValidation type="list" allowBlank="1" promptTitle="Step Result" prompt="✅=Pass, ❌=Fail, ⏭=Skip, ⚠=Blocked" sqref="F9:O18" xr:uid="{00000000-0002-0000-1200-000000000000}">
      <formula1>"✅,❌,⏭,⚠"</formula1>
    </dataValidation>
    <dataValidation type="list" allowBlank="1" errorTitle="Invalid Status" error="Please select: PASS, FAIL, BLOCKED, SKIP, or N/A" promptTitle="Status" prompt="Select test result" sqref="F20:O20" xr:uid="{00000000-0002-0000-1200-00000A000000}">
      <formula1>"PASS,FAIL,BLOCKED,SKIP,N/A"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563EB"/>
  </sheetPr>
  <dimension ref="A1:Q18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5" t="s">
        <v>516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517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96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142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518</v>
      </c>
      <c r="D9" s="45" t="s">
        <v>319</v>
      </c>
      <c r="E9" s="23" t="s">
        <v>519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520</v>
      </c>
      <c r="D10" s="48" t="s">
        <v>521</v>
      </c>
      <c r="E10" s="25" t="s">
        <v>522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523</v>
      </c>
      <c r="D11" s="45" t="s">
        <v>521</v>
      </c>
      <c r="E11" s="23" t="s">
        <v>524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525</v>
      </c>
      <c r="D12" s="48" t="s">
        <v>525</v>
      </c>
      <c r="E12" s="25" t="s">
        <v>526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149</v>
      </c>
      <c r="C13" s="23" t="s">
        <v>527</v>
      </c>
      <c r="D13" s="45" t="s">
        <v>525</v>
      </c>
      <c r="E13" s="23" t="s">
        <v>528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222</v>
      </c>
      <c r="C14" s="25" t="s">
        <v>529</v>
      </c>
      <c r="D14" s="48" t="s">
        <v>222</v>
      </c>
      <c r="E14" s="25" t="s">
        <v>222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149</v>
      </c>
      <c r="C15" s="23" t="s">
        <v>530</v>
      </c>
      <c r="D15" s="45" t="s">
        <v>420</v>
      </c>
      <c r="E15" s="23" t="s">
        <v>531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255</v>
      </c>
      <c r="C16" s="25" t="s">
        <v>525</v>
      </c>
      <c r="D16" s="48" t="s">
        <v>525</v>
      </c>
      <c r="E16" s="25" t="s">
        <v>532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8" spans="1:16" ht="27.95" customHeight="1" x14ac:dyDescent="0.25">
      <c r="A18" s="79" t="s">
        <v>227</v>
      </c>
      <c r="B18" s="80"/>
      <c r="C18" s="80"/>
      <c r="D18" s="80"/>
      <c r="E18" s="8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1"/>
    </row>
  </sheetData>
  <mergeCells count="6">
    <mergeCell ref="A18:E18"/>
    <mergeCell ref="B4:Q4"/>
    <mergeCell ref="B6:Q6"/>
    <mergeCell ref="A1:Q1"/>
    <mergeCell ref="B3:Q3"/>
    <mergeCell ref="B5:Q5"/>
  </mergeCells>
  <conditionalFormatting sqref="F9:O16">
    <cfRule type="cellIs" dxfId="114" priority="1" operator="equal">
      <formula>"✅"</formula>
    </cfRule>
    <cfRule type="cellIs" dxfId="113" priority="2" operator="equal">
      <formula>"❌"</formula>
    </cfRule>
    <cfRule type="cellIs" dxfId="112" priority="3" operator="equal">
      <formula>"⏭"</formula>
    </cfRule>
    <cfRule type="cellIs" dxfId="111" priority="4" operator="equal">
      <formula>"⚠"</formula>
    </cfRule>
  </conditionalFormatting>
  <conditionalFormatting sqref="F18:O18">
    <cfRule type="cellIs" dxfId="110" priority="41" operator="equal">
      <formula>"PASS"</formula>
    </cfRule>
    <cfRule type="cellIs" dxfId="109" priority="42" operator="equal">
      <formula>"FAIL"</formula>
    </cfRule>
    <cfRule type="cellIs" dxfId="108" priority="43" operator="equal">
      <formula>"BLOCKED"</formula>
    </cfRule>
    <cfRule type="cellIs" dxfId="107" priority="44" operator="equal">
      <formula>"SKIP"</formula>
    </cfRule>
  </conditionalFormatting>
  <dataValidations count="2">
    <dataValidation type="list" allowBlank="1" promptTitle="Step Result" prompt="✅=Pass, ❌=Fail, ⏭=Skip, ⚠=Blocked" sqref="F9:O16" xr:uid="{00000000-0002-0000-1300-000000000000}">
      <formula1>"✅,❌,⏭,⚠"</formula1>
    </dataValidation>
    <dataValidation type="list" allowBlank="1" errorTitle="Invalid Status" error="Please select: PASS, FAIL, BLOCKED, SKIP, or N/A" promptTitle="Status" prompt="Select test result" sqref="F18:O18" xr:uid="{00000000-0002-0000-1300-00000A000000}">
      <formula1>"PASS,FAIL,BLOCKED,SKIP,N/A"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C3AED"/>
  </sheetPr>
  <dimension ref="A1:Q34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3" t="s">
        <v>533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534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145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92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146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212</v>
      </c>
      <c r="C9" s="23" t="s">
        <v>535</v>
      </c>
      <c r="D9" s="45" t="s">
        <v>536</v>
      </c>
      <c r="E9" s="23" t="s">
        <v>537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212</v>
      </c>
      <c r="C10" s="25" t="s">
        <v>538</v>
      </c>
      <c r="D10" s="48" t="s">
        <v>539</v>
      </c>
      <c r="E10" s="25" t="s">
        <v>540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212</v>
      </c>
      <c r="C11" s="23" t="s">
        <v>541</v>
      </c>
      <c r="D11" s="45" t="s">
        <v>542</v>
      </c>
      <c r="E11" s="23" t="s">
        <v>543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212</v>
      </c>
      <c r="C12" s="25" t="s">
        <v>544</v>
      </c>
      <c r="D12" s="48" t="s">
        <v>399</v>
      </c>
      <c r="E12" s="25" t="s">
        <v>545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212</v>
      </c>
      <c r="C13" s="23" t="s">
        <v>546</v>
      </c>
      <c r="D13" s="45" t="s">
        <v>303</v>
      </c>
      <c r="E13" s="23" t="s">
        <v>547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212</v>
      </c>
      <c r="C14" s="25" t="s">
        <v>548</v>
      </c>
      <c r="D14" s="48" t="s">
        <v>549</v>
      </c>
      <c r="E14" s="25" t="s">
        <v>550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212</v>
      </c>
      <c r="C15" s="23" t="s">
        <v>551</v>
      </c>
      <c r="D15" s="45" t="s">
        <v>428</v>
      </c>
      <c r="E15" s="23" t="s">
        <v>552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212</v>
      </c>
      <c r="C16" s="25" t="s">
        <v>553</v>
      </c>
      <c r="D16" s="48" t="s">
        <v>247</v>
      </c>
      <c r="E16" s="25" t="s">
        <v>554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212</v>
      </c>
      <c r="C17" s="23" t="s">
        <v>555</v>
      </c>
      <c r="D17" s="45" t="s">
        <v>556</v>
      </c>
      <c r="E17" s="23" t="s">
        <v>557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212</v>
      </c>
      <c r="C18" s="25" t="s">
        <v>558</v>
      </c>
      <c r="D18" s="48" t="s">
        <v>559</v>
      </c>
      <c r="E18" s="25" t="s">
        <v>560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ht="30" customHeight="1" x14ac:dyDescent="0.25">
      <c r="A19" s="29">
        <v>11</v>
      </c>
      <c r="B19" s="44" t="s">
        <v>212</v>
      </c>
      <c r="C19" s="23" t="s">
        <v>561</v>
      </c>
      <c r="D19" s="45" t="s">
        <v>562</v>
      </c>
      <c r="E19" s="23" t="s">
        <v>563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17" ht="30" customHeight="1" x14ac:dyDescent="0.25">
      <c r="A20" s="33">
        <v>12</v>
      </c>
      <c r="B20" s="47" t="s">
        <v>212</v>
      </c>
      <c r="C20" s="25" t="s">
        <v>564</v>
      </c>
      <c r="D20" s="48" t="s">
        <v>565</v>
      </c>
      <c r="E20" s="25" t="s">
        <v>566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ht="30" customHeight="1" x14ac:dyDescent="0.25">
      <c r="A21" s="29">
        <v>13</v>
      </c>
      <c r="B21" s="44" t="s">
        <v>212</v>
      </c>
      <c r="C21" s="23" t="s">
        <v>567</v>
      </c>
      <c r="D21" s="45" t="s">
        <v>446</v>
      </c>
      <c r="E21" s="23" t="s">
        <v>568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ht="30" customHeight="1" x14ac:dyDescent="0.25">
      <c r="A22" s="33">
        <v>14</v>
      </c>
      <c r="B22" s="47" t="s">
        <v>212</v>
      </c>
      <c r="C22" s="25" t="s">
        <v>569</v>
      </c>
      <c r="D22" s="48" t="s">
        <v>570</v>
      </c>
      <c r="E22" s="25" t="s">
        <v>571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</row>
    <row r="23" spans="1:17" ht="30" customHeight="1" x14ac:dyDescent="0.25">
      <c r="A23" s="29">
        <v>15</v>
      </c>
      <c r="B23" s="44" t="s">
        <v>212</v>
      </c>
      <c r="C23" s="23" t="s">
        <v>572</v>
      </c>
      <c r="D23" s="45" t="s">
        <v>573</v>
      </c>
      <c r="E23" s="23" t="s">
        <v>574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17" ht="30" customHeight="1" x14ac:dyDescent="0.25">
      <c r="A24" s="33">
        <v>16</v>
      </c>
      <c r="B24" s="47" t="s">
        <v>212</v>
      </c>
      <c r="C24" s="25" t="s">
        <v>575</v>
      </c>
      <c r="D24" s="48" t="s">
        <v>576</v>
      </c>
      <c r="E24" s="25" t="s">
        <v>577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</row>
    <row r="25" spans="1:17" ht="30" customHeight="1" x14ac:dyDescent="0.25">
      <c r="A25" s="29">
        <v>17</v>
      </c>
      <c r="B25" s="44" t="s">
        <v>212</v>
      </c>
      <c r="C25" s="23" t="s">
        <v>578</v>
      </c>
      <c r="D25" s="45" t="s">
        <v>579</v>
      </c>
      <c r="E25" s="23" t="s">
        <v>580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7" ht="30" customHeight="1" x14ac:dyDescent="0.25">
      <c r="A26" s="33">
        <v>18</v>
      </c>
      <c r="B26" s="47" t="s">
        <v>212</v>
      </c>
      <c r="C26" s="25" t="s">
        <v>581</v>
      </c>
      <c r="D26" s="48" t="s">
        <v>582</v>
      </c>
      <c r="E26" s="25" t="s">
        <v>583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1:17" ht="30" customHeight="1" x14ac:dyDescent="0.25">
      <c r="A27" s="29">
        <v>19</v>
      </c>
      <c r="B27" s="44" t="s">
        <v>212</v>
      </c>
      <c r="C27" s="23" t="s">
        <v>584</v>
      </c>
      <c r="D27" s="45" t="s">
        <v>585</v>
      </c>
      <c r="E27" s="23" t="s">
        <v>586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spans="1:17" ht="30" customHeight="1" x14ac:dyDescent="0.25">
      <c r="A28" s="33">
        <v>20</v>
      </c>
      <c r="B28" s="47" t="s">
        <v>212</v>
      </c>
      <c r="C28" s="25" t="s">
        <v>587</v>
      </c>
      <c r="D28" s="48" t="s">
        <v>588</v>
      </c>
      <c r="E28" s="25" t="s">
        <v>589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</row>
    <row r="29" spans="1:17" ht="30" customHeight="1" x14ac:dyDescent="0.25">
      <c r="A29" s="29">
        <v>21</v>
      </c>
      <c r="B29" s="44" t="s">
        <v>590</v>
      </c>
      <c r="C29" s="23" t="s">
        <v>591</v>
      </c>
      <c r="D29" s="45" t="s">
        <v>217</v>
      </c>
      <c r="E29" s="23" t="s">
        <v>592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spans="1:17" ht="30" customHeight="1" x14ac:dyDescent="0.25">
      <c r="A30" s="33">
        <v>22</v>
      </c>
      <c r="B30" s="47" t="s">
        <v>590</v>
      </c>
      <c r="C30" s="25" t="s">
        <v>593</v>
      </c>
      <c r="D30" s="48" t="s">
        <v>217</v>
      </c>
      <c r="E30" s="25" t="s">
        <v>594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</row>
    <row r="31" spans="1:17" ht="30" customHeight="1" x14ac:dyDescent="0.25">
      <c r="A31" s="29">
        <v>23</v>
      </c>
      <c r="B31" s="44" t="s">
        <v>590</v>
      </c>
      <c r="C31" s="23" t="s">
        <v>595</v>
      </c>
      <c r="D31" s="45" t="s">
        <v>217</v>
      </c>
      <c r="E31" s="23" t="s">
        <v>596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7" ht="30" customHeight="1" x14ac:dyDescent="0.25">
      <c r="A32" s="33">
        <v>24</v>
      </c>
      <c r="B32" s="47" t="s">
        <v>590</v>
      </c>
      <c r="C32" s="25" t="s">
        <v>597</v>
      </c>
      <c r="D32" s="48" t="s">
        <v>217</v>
      </c>
      <c r="E32" s="25" t="s">
        <v>598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</row>
    <row r="34" spans="1:16" ht="27.95" customHeight="1" x14ac:dyDescent="0.25">
      <c r="A34" s="79" t="s">
        <v>227</v>
      </c>
      <c r="B34" s="80"/>
      <c r="C34" s="80"/>
      <c r="D34" s="80"/>
      <c r="E34" s="8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1"/>
    </row>
  </sheetData>
  <mergeCells count="6">
    <mergeCell ref="A34:E34"/>
    <mergeCell ref="B4:Q4"/>
    <mergeCell ref="B6:Q6"/>
    <mergeCell ref="A1:Q1"/>
    <mergeCell ref="B3:Q3"/>
    <mergeCell ref="B5:Q5"/>
  </mergeCells>
  <conditionalFormatting sqref="F9:O32">
    <cfRule type="cellIs" dxfId="106" priority="1" operator="equal">
      <formula>"✅"</formula>
    </cfRule>
    <cfRule type="cellIs" dxfId="105" priority="2" operator="equal">
      <formula>"❌"</formula>
    </cfRule>
    <cfRule type="cellIs" dxfId="104" priority="3" operator="equal">
      <formula>"⏭"</formula>
    </cfRule>
    <cfRule type="cellIs" dxfId="103" priority="4" operator="equal">
      <formula>"⚠"</formula>
    </cfRule>
  </conditionalFormatting>
  <conditionalFormatting sqref="F34:O34">
    <cfRule type="cellIs" dxfId="102" priority="41" operator="equal">
      <formula>"PASS"</formula>
    </cfRule>
    <cfRule type="cellIs" dxfId="101" priority="42" operator="equal">
      <formula>"FAIL"</formula>
    </cfRule>
    <cfRule type="cellIs" dxfId="100" priority="43" operator="equal">
      <formula>"BLOCKED"</formula>
    </cfRule>
    <cfRule type="cellIs" dxfId="99" priority="44" operator="equal">
      <formula>"SKIP"</formula>
    </cfRule>
  </conditionalFormatting>
  <dataValidations count="2">
    <dataValidation type="list" allowBlank="1" promptTitle="Step Result" prompt="✅=Pass, ❌=Fail, ⏭=Skip, ⚠=Blocked" sqref="F9:O32" xr:uid="{00000000-0002-0000-1400-000000000000}">
      <formula1>"✅,❌,⏭,⚠"</formula1>
    </dataValidation>
    <dataValidation type="list" allowBlank="1" errorTitle="Invalid Status" error="Please select: PASS, FAIL, BLOCKED, SKIP, or N/A" promptTitle="Status" prompt="Select test result" sqref="F34:O34" xr:uid="{00000000-0002-0000-1400-00000A000000}">
      <formula1>"PASS,FAIL,BLOCKED,SKIP,N/A"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D6B5C"/>
  </sheetPr>
  <dimension ref="A1:Q16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4" t="s">
        <v>599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600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149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150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601</v>
      </c>
      <c r="D9" s="45" t="s">
        <v>286</v>
      </c>
      <c r="E9" s="23" t="s">
        <v>602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603</v>
      </c>
      <c r="D10" s="48" t="s">
        <v>286</v>
      </c>
      <c r="E10" s="25" t="s">
        <v>604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605</v>
      </c>
      <c r="D11" s="45" t="s">
        <v>286</v>
      </c>
      <c r="E11" s="23" t="s">
        <v>606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607</v>
      </c>
      <c r="D12" s="48" t="s">
        <v>286</v>
      </c>
      <c r="E12" s="25" t="s">
        <v>608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149</v>
      </c>
      <c r="C13" s="23" t="s">
        <v>609</v>
      </c>
      <c r="D13" s="45" t="s">
        <v>286</v>
      </c>
      <c r="E13" s="23" t="s">
        <v>610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149</v>
      </c>
      <c r="C14" s="25" t="s">
        <v>611</v>
      </c>
      <c r="D14" s="48" t="s">
        <v>286</v>
      </c>
      <c r="E14" s="25" t="s">
        <v>612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6" spans="1:17" ht="27.95" customHeight="1" x14ac:dyDescent="0.25">
      <c r="A16" s="79" t="s">
        <v>227</v>
      </c>
      <c r="B16" s="80"/>
      <c r="C16" s="80"/>
      <c r="D16" s="80"/>
      <c r="E16" s="8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</row>
  </sheetData>
  <mergeCells count="6">
    <mergeCell ref="A16:E16"/>
    <mergeCell ref="B4:Q4"/>
    <mergeCell ref="B6:Q6"/>
    <mergeCell ref="A1:Q1"/>
    <mergeCell ref="B3:Q3"/>
    <mergeCell ref="B5:Q5"/>
  </mergeCells>
  <conditionalFormatting sqref="F9:O14">
    <cfRule type="cellIs" dxfId="98" priority="1" operator="equal">
      <formula>"✅"</formula>
    </cfRule>
    <cfRule type="cellIs" dxfId="97" priority="2" operator="equal">
      <formula>"❌"</formula>
    </cfRule>
    <cfRule type="cellIs" dxfId="96" priority="3" operator="equal">
      <formula>"⏭"</formula>
    </cfRule>
    <cfRule type="cellIs" dxfId="95" priority="4" operator="equal">
      <formula>"⚠"</formula>
    </cfRule>
  </conditionalFormatting>
  <conditionalFormatting sqref="F16:O16">
    <cfRule type="cellIs" dxfId="94" priority="41" operator="equal">
      <formula>"PASS"</formula>
    </cfRule>
    <cfRule type="cellIs" dxfId="93" priority="42" operator="equal">
      <formula>"FAIL"</formula>
    </cfRule>
    <cfRule type="cellIs" dxfId="92" priority="43" operator="equal">
      <formula>"BLOCKED"</formula>
    </cfRule>
    <cfRule type="cellIs" dxfId="91" priority="44" operator="equal">
      <formula>"SKIP"</formula>
    </cfRule>
  </conditionalFormatting>
  <dataValidations count="2">
    <dataValidation type="list" allowBlank="1" promptTitle="Step Result" prompt="✅=Pass, ❌=Fail, ⏭=Skip, ⚠=Blocked" sqref="F9:O14" xr:uid="{00000000-0002-0000-1500-000000000000}">
      <formula1>"✅,❌,⏭,⚠"</formula1>
    </dataValidation>
    <dataValidation type="list" allowBlank="1" errorTitle="Invalid Status" error="Please select: PASS, FAIL, BLOCKED, SKIP, or N/A" promptTitle="Status" prompt="Select test result" sqref="F16:O16" xr:uid="{00000000-0002-0000-1500-00000A000000}">
      <formula1>"PASS,FAIL,BLOCKED,SKIP,N/A"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6A34A"/>
  </sheetPr>
  <dimension ref="A1:Q2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2" t="s">
        <v>613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614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153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154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615</v>
      </c>
      <c r="C9" s="23" t="s">
        <v>616</v>
      </c>
      <c r="D9" s="45" t="s">
        <v>617</v>
      </c>
      <c r="E9" s="23" t="s">
        <v>618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615</v>
      </c>
      <c r="C10" s="25" t="s">
        <v>619</v>
      </c>
      <c r="D10" s="48" t="s">
        <v>619</v>
      </c>
      <c r="E10" s="25" t="s">
        <v>620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615</v>
      </c>
      <c r="C11" s="23" t="s">
        <v>511</v>
      </c>
      <c r="D11" s="45" t="s">
        <v>511</v>
      </c>
      <c r="E11" s="23" t="s">
        <v>621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615</v>
      </c>
      <c r="C12" s="25" t="s">
        <v>622</v>
      </c>
      <c r="D12" s="48" t="s">
        <v>622</v>
      </c>
      <c r="E12" s="25" t="s">
        <v>623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615</v>
      </c>
      <c r="C13" s="23" t="s">
        <v>624</v>
      </c>
      <c r="D13" s="45" t="s">
        <v>624</v>
      </c>
      <c r="E13" s="23" t="s">
        <v>625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615</v>
      </c>
      <c r="C14" s="25" t="s">
        <v>626</v>
      </c>
      <c r="D14" s="48" t="s">
        <v>626</v>
      </c>
      <c r="E14" s="25" t="s">
        <v>627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615</v>
      </c>
      <c r="C15" s="23" t="s">
        <v>628</v>
      </c>
      <c r="D15" s="45" t="s">
        <v>628</v>
      </c>
      <c r="E15" s="23" t="s">
        <v>629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615</v>
      </c>
      <c r="C16" s="25" t="s">
        <v>630</v>
      </c>
      <c r="D16" s="48" t="s">
        <v>630</v>
      </c>
      <c r="E16" s="25" t="s">
        <v>631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615</v>
      </c>
      <c r="C17" s="23" t="s">
        <v>632</v>
      </c>
      <c r="D17" s="45" t="s">
        <v>632</v>
      </c>
      <c r="E17" s="23" t="s">
        <v>633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615</v>
      </c>
      <c r="C18" s="25" t="s">
        <v>634</v>
      </c>
      <c r="D18" s="48" t="s">
        <v>634</v>
      </c>
      <c r="E18" s="25" t="s">
        <v>635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ht="30" customHeight="1" x14ac:dyDescent="0.25">
      <c r="A19" s="29">
        <v>11</v>
      </c>
      <c r="B19" s="44" t="s">
        <v>615</v>
      </c>
      <c r="C19" s="23" t="s">
        <v>636</v>
      </c>
      <c r="D19" s="45" t="s">
        <v>636</v>
      </c>
      <c r="E19" s="23" t="s">
        <v>637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17" ht="30" customHeight="1" x14ac:dyDescent="0.25">
      <c r="A20" s="33">
        <v>12</v>
      </c>
      <c r="B20" s="47" t="s">
        <v>615</v>
      </c>
      <c r="C20" s="25" t="s">
        <v>214</v>
      </c>
      <c r="D20" s="48" t="s">
        <v>214</v>
      </c>
      <c r="E20" s="25" t="s">
        <v>638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ht="30" customHeight="1" x14ac:dyDescent="0.25">
      <c r="A21" s="29">
        <v>13</v>
      </c>
      <c r="B21" s="44" t="s">
        <v>615</v>
      </c>
      <c r="C21" s="23" t="s">
        <v>205</v>
      </c>
      <c r="D21" s="45" t="s">
        <v>205</v>
      </c>
      <c r="E21" s="23" t="s">
        <v>639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ht="30" customHeight="1" x14ac:dyDescent="0.25">
      <c r="A22" s="33">
        <v>14</v>
      </c>
      <c r="B22" s="47" t="s">
        <v>615</v>
      </c>
      <c r="C22" s="25" t="s">
        <v>640</v>
      </c>
      <c r="D22" s="48" t="s">
        <v>214</v>
      </c>
      <c r="E22" s="25" t="s">
        <v>641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</row>
    <row r="23" spans="1:17" ht="30" customHeight="1" x14ac:dyDescent="0.25">
      <c r="A23" s="29">
        <v>15</v>
      </c>
      <c r="B23" s="44" t="s">
        <v>615</v>
      </c>
      <c r="C23" s="23" t="s">
        <v>642</v>
      </c>
      <c r="D23" s="45" t="s">
        <v>214</v>
      </c>
      <c r="E23" s="23" t="s">
        <v>641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17" ht="30" customHeight="1" x14ac:dyDescent="0.25">
      <c r="A24" s="33">
        <v>16</v>
      </c>
      <c r="B24" s="47" t="s">
        <v>615</v>
      </c>
      <c r="C24" s="25" t="s">
        <v>643</v>
      </c>
      <c r="D24" s="48" t="s">
        <v>214</v>
      </c>
      <c r="E24" s="25" t="s">
        <v>641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</row>
    <row r="25" spans="1:17" ht="30" customHeight="1" x14ac:dyDescent="0.25">
      <c r="A25" s="29">
        <v>17</v>
      </c>
      <c r="B25" s="44" t="s">
        <v>615</v>
      </c>
      <c r="C25" s="23" t="s">
        <v>644</v>
      </c>
      <c r="D25" s="45" t="s">
        <v>645</v>
      </c>
      <c r="E25" s="23" t="s">
        <v>646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7" spans="1:17" ht="27.95" customHeight="1" x14ac:dyDescent="0.25">
      <c r="A27" s="79" t="s">
        <v>227</v>
      </c>
      <c r="B27" s="80"/>
      <c r="C27" s="80"/>
      <c r="D27" s="80"/>
      <c r="E27" s="8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1"/>
    </row>
  </sheetData>
  <mergeCells count="6">
    <mergeCell ref="B4:Q4"/>
    <mergeCell ref="B6:Q6"/>
    <mergeCell ref="A1:Q1"/>
    <mergeCell ref="A27:E27"/>
    <mergeCell ref="B3:Q3"/>
    <mergeCell ref="B5:Q5"/>
  </mergeCells>
  <conditionalFormatting sqref="F9:O25">
    <cfRule type="cellIs" dxfId="90" priority="1" operator="equal">
      <formula>"✅"</formula>
    </cfRule>
    <cfRule type="cellIs" dxfId="89" priority="2" operator="equal">
      <formula>"❌"</formula>
    </cfRule>
    <cfRule type="cellIs" dxfId="88" priority="3" operator="equal">
      <formula>"⏭"</formula>
    </cfRule>
    <cfRule type="cellIs" dxfId="87" priority="4" operator="equal">
      <formula>"⚠"</formula>
    </cfRule>
  </conditionalFormatting>
  <conditionalFormatting sqref="F27:O27">
    <cfRule type="cellIs" dxfId="86" priority="41" operator="equal">
      <formula>"PASS"</formula>
    </cfRule>
    <cfRule type="cellIs" dxfId="85" priority="42" operator="equal">
      <formula>"FAIL"</formula>
    </cfRule>
    <cfRule type="cellIs" dxfId="84" priority="43" operator="equal">
      <formula>"BLOCKED"</formula>
    </cfRule>
    <cfRule type="cellIs" dxfId="83" priority="44" operator="equal">
      <formula>"SKIP"</formula>
    </cfRule>
  </conditionalFormatting>
  <dataValidations count="2">
    <dataValidation type="list" allowBlank="1" promptTitle="Step Result" prompt="✅=Pass, ❌=Fail, ⏭=Skip, ⚠=Blocked" sqref="F9:O25" xr:uid="{00000000-0002-0000-1600-000000000000}">
      <formula1>"✅,❌,⏭,⚠"</formula1>
    </dataValidation>
    <dataValidation type="list" allowBlank="1" errorTitle="Invalid Status" error="Please select: PASS, FAIL, BLOCKED, SKIP, or N/A" promptTitle="Status" prompt="Select test result" sqref="F27:O27" xr:uid="{00000000-0002-0000-1600-00000A000000}">
      <formula1>"PASS,FAIL,BLOCKED,SKIP,N/A"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59E0B"/>
  </sheetPr>
  <dimension ref="A1:Q1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7" t="s">
        <v>647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648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157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127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362</v>
      </c>
      <c r="C9" s="23" t="s">
        <v>649</v>
      </c>
      <c r="D9" s="45" t="s">
        <v>232</v>
      </c>
      <c r="E9" s="23" t="s">
        <v>650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362</v>
      </c>
      <c r="C10" s="25" t="s">
        <v>651</v>
      </c>
      <c r="D10" s="48" t="s">
        <v>257</v>
      </c>
      <c r="E10" s="25" t="s">
        <v>652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362</v>
      </c>
      <c r="C11" s="23" t="s">
        <v>653</v>
      </c>
      <c r="D11" s="45" t="s">
        <v>257</v>
      </c>
      <c r="E11" s="23" t="s">
        <v>654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362</v>
      </c>
      <c r="C12" s="25" t="s">
        <v>655</v>
      </c>
      <c r="D12" s="48" t="s">
        <v>257</v>
      </c>
      <c r="E12" s="25" t="s">
        <v>656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362</v>
      </c>
      <c r="C13" s="23" t="s">
        <v>657</v>
      </c>
      <c r="D13" s="45" t="s">
        <v>257</v>
      </c>
      <c r="E13" s="23" t="s">
        <v>658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362</v>
      </c>
      <c r="C14" s="25" t="s">
        <v>659</v>
      </c>
      <c r="D14" s="48" t="s">
        <v>232</v>
      </c>
      <c r="E14" s="25" t="s">
        <v>660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362</v>
      </c>
      <c r="C15" s="23" t="s">
        <v>661</v>
      </c>
      <c r="D15" s="45" t="s">
        <v>232</v>
      </c>
      <c r="E15" s="23" t="s">
        <v>662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7" spans="1:16" ht="27.95" customHeight="1" x14ac:dyDescent="0.25">
      <c r="A17" s="79" t="s">
        <v>227</v>
      </c>
      <c r="B17" s="80"/>
      <c r="C17" s="80"/>
      <c r="D17" s="80"/>
      <c r="E17" s="8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</row>
  </sheetData>
  <mergeCells count="6">
    <mergeCell ref="B4:Q4"/>
    <mergeCell ref="B6:Q6"/>
    <mergeCell ref="A17:E17"/>
    <mergeCell ref="A1:Q1"/>
    <mergeCell ref="B3:Q3"/>
    <mergeCell ref="B5:Q5"/>
  </mergeCells>
  <conditionalFormatting sqref="F9:O15">
    <cfRule type="cellIs" dxfId="82" priority="1" operator="equal">
      <formula>"✅"</formula>
    </cfRule>
    <cfRule type="cellIs" dxfId="81" priority="2" operator="equal">
      <formula>"❌"</formula>
    </cfRule>
    <cfRule type="cellIs" dxfId="80" priority="3" operator="equal">
      <formula>"⏭"</formula>
    </cfRule>
    <cfRule type="cellIs" dxfId="79" priority="4" operator="equal">
      <formula>"⚠"</formula>
    </cfRule>
  </conditionalFormatting>
  <conditionalFormatting sqref="F17:O17">
    <cfRule type="cellIs" dxfId="78" priority="41" operator="equal">
      <formula>"PASS"</formula>
    </cfRule>
    <cfRule type="cellIs" dxfId="77" priority="42" operator="equal">
      <formula>"FAIL"</formula>
    </cfRule>
    <cfRule type="cellIs" dxfId="76" priority="43" operator="equal">
      <formula>"BLOCKED"</formula>
    </cfRule>
    <cfRule type="cellIs" dxfId="75" priority="44" operator="equal">
      <formula>"SKIP"</formula>
    </cfRule>
  </conditionalFormatting>
  <dataValidations count="2">
    <dataValidation type="list" allowBlank="1" promptTitle="Step Result" prompt="✅=Pass, ❌=Fail, ⏭=Skip, ⚠=Blocked" sqref="F9:O15" xr:uid="{00000000-0002-0000-1700-000000000000}">
      <formula1>"✅,❌,⏭,⚠"</formula1>
    </dataValidation>
    <dataValidation type="list" allowBlank="1" errorTitle="Invalid Status" error="Please select: PASS, FAIL, BLOCKED, SKIP, or N/A" promptTitle="Status" prompt="Select test result" sqref="F17:O17" xr:uid="{00000000-0002-0000-1700-00000A000000}">
      <formula1>"PASS,FAIL,BLOCKED,SKIP,N/A"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6A34A"/>
  </sheetPr>
  <dimension ref="A1:Q1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2" t="s">
        <v>663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664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160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161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615</v>
      </c>
      <c r="C9" s="23" t="s">
        <v>630</v>
      </c>
      <c r="D9" s="45" t="s">
        <v>630</v>
      </c>
      <c r="E9" s="23" t="s">
        <v>665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615</v>
      </c>
      <c r="C10" s="25" t="s">
        <v>666</v>
      </c>
      <c r="D10" s="48" t="s">
        <v>632</v>
      </c>
      <c r="E10" s="25" t="s">
        <v>667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615</v>
      </c>
      <c r="C11" s="23" t="s">
        <v>668</v>
      </c>
      <c r="D11" s="45" t="s">
        <v>632</v>
      </c>
      <c r="E11" s="23" t="s">
        <v>669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615</v>
      </c>
      <c r="C12" s="25" t="s">
        <v>670</v>
      </c>
      <c r="D12" s="48" t="s">
        <v>671</v>
      </c>
      <c r="E12" s="25" t="s">
        <v>672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615</v>
      </c>
      <c r="C13" s="23" t="s">
        <v>673</v>
      </c>
      <c r="D13" s="45" t="s">
        <v>674</v>
      </c>
      <c r="E13" s="23" t="s">
        <v>675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615</v>
      </c>
      <c r="C14" s="25" t="s">
        <v>676</v>
      </c>
      <c r="D14" s="48" t="s">
        <v>677</v>
      </c>
      <c r="E14" s="25" t="s">
        <v>678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615</v>
      </c>
      <c r="C15" s="23" t="s">
        <v>679</v>
      </c>
      <c r="D15" s="45" t="s">
        <v>680</v>
      </c>
      <c r="E15" s="23" t="s">
        <v>681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7" spans="1:16" ht="27.95" customHeight="1" x14ac:dyDescent="0.25">
      <c r="A17" s="79" t="s">
        <v>227</v>
      </c>
      <c r="B17" s="80"/>
      <c r="C17" s="80"/>
      <c r="D17" s="80"/>
      <c r="E17" s="8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</row>
  </sheetData>
  <mergeCells count="6">
    <mergeCell ref="B4:Q4"/>
    <mergeCell ref="B6:Q6"/>
    <mergeCell ref="A17:E17"/>
    <mergeCell ref="A1:Q1"/>
    <mergeCell ref="B3:Q3"/>
    <mergeCell ref="B5:Q5"/>
  </mergeCells>
  <conditionalFormatting sqref="F9:O15">
    <cfRule type="cellIs" dxfId="74" priority="1" operator="equal">
      <formula>"✅"</formula>
    </cfRule>
    <cfRule type="cellIs" dxfId="73" priority="2" operator="equal">
      <formula>"❌"</formula>
    </cfRule>
    <cfRule type="cellIs" dxfId="72" priority="3" operator="equal">
      <formula>"⏭"</formula>
    </cfRule>
    <cfRule type="cellIs" dxfId="71" priority="4" operator="equal">
      <formula>"⚠"</formula>
    </cfRule>
  </conditionalFormatting>
  <conditionalFormatting sqref="F17:O17">
    <cfRule type="cellIs" dxfId="70" priority="41" operator="equal">
      <formula>"PASS"</formula>
    </cfRule>
    <cfRule type="cellIs" dxfId="69" priority="42" operator="equal">
      <formula>"FAIL"</formula>
    </cfRule>
    <cfRule type="cellIs" dxfId="68" priority="43" operator="equal">
      <formula>"BLOCKED"</formula>
    </cfRule>
    <cfRule type="cellIs" dxfId="67" priority="44" operator="equal">
      <formula>"SKIP"</formula>
    </cfRule>
  </conditionalFormatting>
  <dataValidations count="2">
    <dataValidation type="list" allowBlank="1" promptTitle="Step Result" prompt="✅=Pass, ❌=Fail, ⏭=Skip, ⚠=Blocked" sqref="F9:O15" xr:uid="{00000000-0002-0000-1800-000000000000}">
      <formula1>"✅,❌,⏭,⚠"</formula1>
    </dataValidation>
    <dataValidation type="list" allowBlank="1" errorTitle="Invalid Status" error="Please select: PASS, FAIL, BLOCKED, SKIP, or N/A" promptTitle="Status" prompt="Select test result" sqref="F17:O17" xr:uid="{00000000-0002-0000-1800-00000A000000}">
      <formula1>"PASS,FAIL,BLOCKED,SKIP,N/A"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D6B5C"/>
  </sheetPr>
  <dimension ref="A1:Q1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4" t="s">
        <v>682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683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96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87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164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684</v>
      </c>
      <c r="D9" s="45" t="s">
        <v>225</v>
      </c>
      <c r="E9" s="23" t="s">
        <v>685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686</v>
      </c>
      <c r="D10" s="48" t="s">
        <v>225</v>
      </c>
      <c r="E10" s="25" t="s">
        <v>687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688</v>
      </c>
      <c r="D11" s="45" t="s">
        <v>225</v>
      </c>
      <c r="E11" s="23" t="s">
        <v>689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690</v>
      </c>
      <c r="D12" s="48" t="s">
        <v>225</v>
      </c>
      <c r="E12" s="25" t="s">
        <v>691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255</v>
      </c>
      <c r="C13" s="23" t="s">
        <v>692</v>
      </c>
      <c r="D13" s="45" t="s">
        <v>232</v>
      </c>
      <c r="E13" s="23" t="s">
        <v>693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255</v>
      </c>
      <c r="C14" s="25" t="s">
        <v>694</v>
      </c>
      <c r="D14" s="48" t="s">
        <v>232</v>
      </c>
      <c r="E14" s="25" t="s">
        <v>695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149</v>
      </c>
      <c r="C15" s="23" t="s">
        <v>317</v>
      </c>
      <c r="D15" s="45" t="s">
        <v>301</v>
      </c>
      <c r="E15" s="23" t="s">
        <v>696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7" spans="1:16" ht="27.95" customHeight="1" x14ac:dyDescent="0.25">
      <c r="A17" s="79" t="s">
        <v>227</v>
      </c>
      <c r="B17" s="80"/>
      <c r="C17" s="80"/>
      <c r="D17" s="80"/>
      <c r="E17" s="8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</row>
  </sheetData>
  <mergeCells count="6">
    <mergeCell ref="B4:Q4"/>
    <mergeCell ref="B6:Q6"/>
    <mergeCell ref="A17:E17"/>
    <mergeCell ref="A1:Q1"/>
    <mergeCell ref="B3:Q3"/>
    <mergeCell ref="B5:Q5"/>
  </mergeCells>
  <conditionalFormatting sqref="F9:O15">
    <cfRule type="cellIs" dxfId="66" priority="1" operator="equal">
      <formula>"✅"</formula>
    </cfRule>
    <cfRule type="cellIs" dxfId="65" priority="2" operator="equal">
      <formula>"❌"</formula>
    </cfRule>
    <cfRule type="cellIs" dxfId="64" priority="3" operator="equal">
      <formula>"⏭"</formula>
    </cfRule>
    <cfRule type="cellIs" dxfId="63" priority="4" operator="equal">
      <formula>"⚠"</formula>
    </cfRule>
  </conditionalFormatting>
  <conditionalFormatting sqref="F17:O17">
    <cfRule type="cellIs" dxfId="62" priority="41" operator="equal">
      <formula>"PASS"</formula>
    </cfRule>
    <cfRule type="cellIs" dxfId="61" priority="42" operator="equal">
      <formula>"FAIL"</formula>
    </cfRule>
    <cfRule type="cellIs" dxfId="60" priority="43" operator="equal">
      <formula>"BLOCKED"</formula>
    </cfRule>
    <cfRule type="cellIs" dxfId="59" priority="44" operator="equal">
      <formula>"SKIP"</formula>
    </cfRule>
  </conditionalFormatting>
  <dataValidations count="2">
    <dataValidation type="list" allowBlank="1" promptTitle="Step Result" prompt="✅=Pass, ❌=Fail, ⏭=Skip, ⚠=Blocked" sqref="F9:O15" xr:uid="{00000000-0002-0000-1900-000000000000}">
      <formula1>"✅,❌,⏭,⚠"</formula1>
    </dataValidation>
    <dataValidation type="list" allowBlank="1" errorTitle="Invalid Status" error="Please select: PASS, FAIL, BLOCKED, SKIP, or N/A" promptTitle="Status" prompt="Select test result" sqref="F17:O17" xr:uid="{00000000-0002-0000-1900-00000A000000}">
      <formula1>"PASS,FAIL,BLOCKED,SKIP,N/A"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C3AED"/>
  </sheetPr>
  <dimension ref="A1:Q19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3" t="s">
        <v>697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698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167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168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212</v>
      </c>
      <c r="C9" s="23" t="s">
        <v>699</v>
      </c>
      <c r="D9" s="45" t="s">
        <v>217</v>
      </c>
      <c r="E9" s="23" t="s">
        <v>700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212</v>
      </c>
      <c r="C10" s="25" t="s">
        <v>701</v>
      </c>
      <c r="D10" s="48" t="s">
        <v>217</v>
      </c>
      <c r="E10" s="25" t="s">
        <v>702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212</v>
      </c>
      <c r="C11" s="23" t="s">
        <v>703</v>
      </c>
      <c r="D11" s="45" t="s">
        <v>217</v>
      </c>
      <c r="E11" s="23" t="s">
        <v>704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212</v>
      </c>
      <c r="C12" s="25" t="s">
        <v>705</v>
      </c>
      <c r="D12" s="48" t="s">
        <v>217</v>
      </c>
      <c r="E12" s="25" t="s">
        <v>706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212</v>
      </c>
      <c r="C13" s="23" t="s">
        <v>707</v>
      </c>
      <c r="D13" s="45" t="s">
        <v>217</v>
      </c>
      <c r="E13" s="23" t="s">
        <v>708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212</v>
      </c>
      <c r="C14" s="25" t="s">
        <v>709</v>
      </c>
      <c r="D14" s="48" t="s">
        <v>217</v>
      </c>
      <c r="E14" s="25" t="s">
        <v>710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212</v>
      </c>
      <c r="C15" s="23" t="s">
        <v>711</v>
      </c>
      <c r="D15" s="45" t="s">
        <v>217</v>
      </c>
      <c r="E15" s="23" t="s">
        <v>712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212</v>
      </c>
      <c r="C16" s="25" t="s">
        <v>713</v>
      </c>
      <c r="D16" s="48" t="s">
        <v>217</v>
      </c>
      <c r="E16" s="25" t="s">
        <v>714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212</v>
      </c>
      <c r="C17" s="23" t="s">
        <v>715</v>
      </c>
      <c r="D17" s="45" t="s">
        <v>217</v>
      </c>
      <c r="E17" s="23" t="s">
        <v>716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9" spans="1:17" ht="27.95" customHeight="1" x14ac:dyDescent="0.25">
      <c r="A19" s="79" t="s">
        <v>227</v>
      </c>
      <c r="B19" s="80"/>
      <c r="C19" s="80"/>
      <c r="D19" s="80"/>
      <c r="E19" s="8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1"/>
    </row>
  </sheetData>
  <mergeCells count="6">
    <mergeCell ref="A19:E19"/>
    <mergeCell ref="B4:Q4"/>
    <mergeCell ref="B6:Q6"/>
    <mergeCell ref="A1:Q1"/>
    <mergeCell ref="B3:Q3"/>
    <mergeCell ref="B5:Q5"/>
  </mergeCells>
  <conditionalFormatting sqref="F9:O17">
    <cfRule type="cellIs" dxfId="58" priority="1" operator="equal">
      <formula>"✅"</formula>
    </cfRule>
    <cfRule type="cellIs" dxfId="57" priority="2" operator="equal">
      <formula>"❌"</formula>
    </cfRule>
    <cfRule type="cellIs" dxfId="56" priority="3" operator="equal">
      <formula>"⏭"</formula>
    </cfRule>
    <cfRule type="cellIs" dxfId="55" priority="4" operator="equal">
      <formula>"⚠"</formula>
    </cfRule>
  </conditionalFormatting>
  <conditionalFormatting sqref="F19:O19">
    <cfRule type="cellIs" dxfId="54" priority="41" operator="equal">
      <formula>"PASS"</formula>
    </cfRule>
    <cfRule type="cellIs" dxfId="53" priority="42" operator="equal">
      <formula>"FAIL"</formula>
    </cfRule>
    <cfRule type="cellIs" dxfId="52" priority="43" operator="equal">
      <formula>"BLOCKED"</formula>
    </cfRule>
    <cfRule type="cellIs" dxfId="51" priority="44" operator="equal">
      <formula>"SKIP"</formula>
    </cfRule>
  </conditionalFormatting>
  <dataValidations count="2">
    <dataValidation type="list" allowBlank="1" promptTitle="Step Result" prompt="✅=Pass, ❌=Fail, ⏭=Skip, ⚠=Blocked" sqref="F9:O17" xr:uid="{00000000-0002-0000-1A00-000000000000}">
      <formula1>"✅,❌,⏭,⚠"</formula1>
    </dataValidation>
    <dataValidation type="list" allowBlank="1" errorTitle="Invalid Status" error="Please select: PASS, FAIL, BLOCKED, SKIP, or N/A" promptTitle="Status" prompt="Select test result" sqref="F19:O19" xr:uid="{00000000-0002-0000-1A00-00000A000000}">
      <formula1>"PASS,FAIL,BLOCKED,SKIP,N/A"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C3AED"/>
  </sheetPr>
  <dimension ref="A1:Q16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3" t="s">
        <v>717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718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171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105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146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719</v>
      </c>
      <c r="C9" s="23" t="s">
        <v>720</v>
      </c>
      <c r="D9" s="45" t="s">
        <v>720</v>
      </c>
      <c r="E9" s="23" t="s">
        <v>721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719</v>
      </c>
      <c r="C10" s="25" t="s">
        <v>722</v>
      </c>
      <c r="D10" s="48" t="s">
        <v>720</v>
      </c>
      <c r="E10" s="25" t="s">
        <v>723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719</v>
      </c>
      <c r="C11" s="23" t="s">
        <v>724</v>
      </c>
      <c r="D11" s="45" t="s">
        <v>720</v>
      </c>
      <c r="E11" s="23" t="s">
        <v>725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719</v>
      </c>
      <c r="C12" s="25" t="s">
        <v>726</v>
      </c>
      <c r="D12" s="48" t="s">
        <v>720</v>
      </c>
      <c r="E12" s="25" t="s">
        <v>727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719</v>
      </c>
      <c r="C13" s="23" t="s">
        <v>728</v>
      </c>
      <c r="D13" s="45" t="s">
        <v>720</v>
      </c>
      <c r="E13" s="23" t="s">
        <v>729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590</v>
      </c>
      <c r="C14" s="25" t="s">
        <v>730</v>
      </c>
      <c r="D14" s="48" t="s">
        <v>720</v>
      </c>
      <c r="E14" s="25" t="s">
        <v>596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6" spans="1:17" ht="27.95" customHeight="1" x14ac:dyDescent="0.25">
      <c r="A16" s="79" t="s">
        <v>227</v>
      </c>
      <c r="B16" s="80"/>
      <c r="C16" s="80"/>
      <c r="D16" s="80"/>
      <c r="E16" s="8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</row>
  </sheetData>
  <mergeCells count="6">
    <mergeCell ref="A16:E16"/>
    <mergeCell ref="B4:Q4"/>
    <mergeCell ref="B6:Q6"/>
    <mergeCell ref="A1:Q1"/>
    <mergeCell ref="B3:Q3"/>
    <mergeCell ref="B5:Q5"/>
  </mergeCells>
  <conditionalFormatting sqref="F9:O14">
    <cfRule type="cellIs" dxfId="50" priority="1" operator="equal">
      <formula>"✅"</formula>
    </cfRule>
    <cfRule type="cellIs" dxfId="49" priority="2" operator="equal">
      <formula>"❌"</formula>
    </cfRule>
    <cfRule type="cellIs" dxfId="48" priority="3" operator="equal">
      <formula>"⏭"</formula>
    </cfRule>
    <cfRule type="cellIs" dxfId="47" priority="4" operator="equal">
      <formula>"⚠"</formula>
    </cfRule>
  </conditionalFormatting>
  <conditionalFormatting sqref="F16:O16">
    <cfRule type="cellIs" dxfId="46" priority="41" operator="equal">
      <formula>"PASS"</formula>
    </cfRule>
    <cfRule type="cellIs" dxfId="45" priority="42" operator="equal">
      <formula>"FAIL"</formula>
    </cfRule>
    <cfRule type="cellIs" dxfId="44" priority="43" operator="equal">
      <formula>"BLOCKED"</formula>
    </cfRule>
    <cfRule type="cellIs" dxfId="43" priority="44" operator="equal">
      <formula>"SKIP"</formula>
    </cfRule>
  </conditionalFormatting>
  <dataValidations count="2">
    <dataValidation type="list" allowBlank="1" promptTitle="Step Result" prompt="✅=Pass, ❌=Fail, ⏭=Skip, ⚠=Blocked" sqref="F9:O14" xr:uid="{00000000-0002-0000-1B00-000000000000}">
      <formula1>"✅,❌,⏭,⚠"</formula1>
    </dataValidation>
    <dataValidation type="list" allowBlank="1" errorTitle="Invalid Status" error="Please select: PASS, FAIL, BLOCKED, SKIP, or N/A" promptTitle="Status" prompt="Select test result" sqref="F16:O16" xr:uid="{00000000-0002-0000-1B00-00000A000000}">
      <formula1>"PASS,FAIL,BLOCKED,SKIP,N/A"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C3AED"/>
  </sheetPr>
  <dimension ref="A1:Q18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3" t="s">
        <v>731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732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174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175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149</v>
      </c>
      <c r="C9" s="23" t="s">
        <v>733</v>
      </c>
      <c r="D9" s="45" t="s">
        <v>210</v>
      </c>
      <c r="E9" s="23" t="s">
        <v>734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149</v>
      </c>
      <c r="C10" s="25" t="s">
        <v>735</v>
      </c>
      <c r="D10" s="48" t="s">
        <v>210</v>
      </c>
      <c r="E10" s="25" t="s">
        <v>736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212</v>
      </c>
      <c r="C11" s="23" t="s">
        <v>737</v>
      </c>
      <c r="D11" s="45" t="s">
        <v>217</v>
      </c>
      <c r="E11" s="23" t="s">
        <v>738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212</v>
      </c>
      <c r="C12" s="25" t="s">
        <v>739</v>
      </c>
      <c r="D12" s="48" t="s">
        <v>217</v>
      </c>
      <c r="E12" s="25" t="s">
        <v>740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212</v>
      </c>
      <c r="C13" s="23" t="s">
        <v>741</v>
      </c>
      <c r="D13" s="45" t="s">
        <v>217</v>
      </c>
      <c r="E13" s="23" t="s">
        <v>742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212</v>
      </c>
      <c r="C14" s="25" t="s">
        <v>743</v>
      </c>
      <c r="D14" s="48" t="s">
        <v>217</v>
      </c>
      <c r="E14" s="25" t="s">
        <v>744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149</v>
      </c>
      <c r="C15" s="23" t="s">
        <v>745</v>
      </c>
      <c r="D15" s="45" t="s">
        <v>210</v>
      </c>
      <c r="E15" s="23" t="s">
        <v>746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212</v>
      </c>
      <c r="C16" s="25" t="s">
        <v>747</v>
      </c>
      <c r="D16" s="48" t="s">
        <v>217</v>
      </c>
      <c r="E16" s="25" t="s">
        <v>748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8" spans="1:16" ht="27.95" customHeight="1" x14ac:dyDescent="0.25">
      <c r="A18" s="79" t="s">
        <v>227</v>
      </c>
      <c r="B18" s="80"/>
      <c r="C18" s="80"/>
      <c r="D18" s="80"/>
      <c r="E18" s="8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1"/>
    </row>
  </sheetData>
  <mergeCells count="6">
    <mergeCell ref="A18:E18"/>
    <mergeCell ref="B4:Q4"/>
    <mergeCell ref="B6:Q6"/>
    <mergeCell ref="A1:Q1"/>
    <mergeCell ref="B3:Q3"/>
    <mergeCell ref="B5:Q5"/>
  </mergeCells>
  <conditionalFormatting sqref="F9:O16">
    <cfRule type="cellIs" dxfId="42" priority="1" operator="equal">
      <formula>"✅"</formula>
    </cfRule>
    <cfRule type="cellIs" dxfId="41" priority="2" operator="equal">
      <formula>"❌"</formula>
    </cfRule>
    <cfRule type="cellIs" dxfId="40" priority="3" operator="equal">
      <formula>"⏭"</formula>
    </cfRule>
    <cfRule type="cellIs" dxfId="39" priority="4" operator="equal">
      <formula>"⚠"</formula>
    </cfRule>
  </conditionalFormatting>
  <conditionalFormatting sqref="F18:O18">
    <cfRule type="cellIs" dxfId="38" priority="41" operator="equal">
      <formula>"PASS"</formula>
    </cfRule>
    <cfRule type="cellIs" dxfId="37" priority="42" operator="equal">
      <formula>"FAIL"</formula>
    </cfRule>
    <cfRule type="cellIs" dxfId="36" priority="43" operator="equal">
      <formula>"BLOCKED"</formula>
    </cfRule>
    <cfRule type="cellIs" dxfId="35" priority="44" operator="equal">
      <formula>"SKIP"</formula>
    </cfRule>
  </conditionalFormatting>
  <dataValidations count="2">
    <dataValidation type="list" allowBlank="1" promptTitle="Step Result" prompt="✅=Pass, ❌=Fail, ⏭=Skip, ⚠=Blocked" sqref="F9:O16" xr:uid="{00000000-0002-0000-1C00-000000000000}">
      <formula1>"✅,❌,⏭,⚠"</formula1>
    </dataValidation>
    <dataValidation type="list" allowBlank="1" errorTitle="Invalid Status" error="Please select: PASS, FAIL, BLOCKED, SKIP, or N/A" promptTitle="Status" prompt="Select test result" sqref="F18:O18" xr:uid="{00000000-0002-0000-1C00-00000A000000}">
      <formula1>"PASS,FAIL,BLOCKED,SKIP,N/A"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C3AED"/>
  </sheetPr>
  <dimension ref="A1:Q17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3" t="s">
        <v>749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750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167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78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161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212</v>
      </c>
      <c r="C9" s="23" t="s">
        <v>585</v>
      </c>
      <c r="D9" s="45" t="s">
        <v>217</v>
      </c>
      <c r="E9" s="23" t="s">
        <v>751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212</v>
      </c>
      <c r="C10" s="25" t="s">
        <v>752</v>
      </c>
      <c r="D10" s="48" t="s">
        <v>217</v>
      </c>
      <c r="E10" s="25" t="s">
        <v>753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212</v>
      </c>
      <c r="C11" s="23" t="s">
        <v>754</v>
      </c>
      <c r="D11" s="45" t="s">
        <v>217</v>
      </c>
      <c r="E11" s="23" t="s">
        <v>755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615</v>
      </c>
      <c r="C12" s="25" t="s">
        <v>634</v>
      </c>
      <c r="D12" s="48" t="s">
        <v>634</v>
      </c>
      <c r="E12" s="25" t="s">
        <v>756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212</v>
      </c>
      <c r="C13" s="23" t="s">
        <v>757</v>
      </c>
      <c r="D13" s="45" t="s">
        <v>222</v>
      </c>
      <c r="E13" s="23" t="s">
        <v>758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212</v>
      </c>
      <c r="C14" s="25" t="s">
        <v>759</v>
      </c>
      <c r="D14" s="48" t="s">
        <v>217</v>
      </c>
      <c r="E14" s="25" t="s">
        <v>760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212</v>
      </c>
      <c r="C15" s="23" t="s">
        <v>761</v>
      </c>
      <c r="D15" s="45" t="s">
        <v>222</v>
      </c>
      <c r="E15" s="23" t="s">
        <v>762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7" spans="1:16" ht="27.95" customHeight="1" x14ac:dyDescent="0.25">
      <c r="A17" s="79" t="s">
        <v>227</v>
      </c>
      <c r="B17" s="80"/>
      <c r="C17" s="80"/>
      <c r="D17" s="80"/>
      <c r="E17" s="8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</row>
  </sheetData>
  <mergeCells count="6">
    <mergeCell ref="B4:Q4"/>
    <mergeCell ref="B6:Q6"/>
    <mergeCell ref="A17:E17"/>
    <mergeCell ref="A1:Q1"/>
    <mergeCell ref="B3:Q3"/>
    <mergeCell ref="B5:Q5"/>
  </mergeCells>
  <conditionalFormatting sqref="F9:O15">
    <cfRule type="cellIs" dxfId="34" priority="1" operator="equal">
      <formula>"✅"</formula>
    </cfRule>
    <cfRule type="cellIs" dxfId="33" priority="2" operator="equal">
      <formula>"❌"</formula>
    </cfRule>
    <cfRule type="cellIs" dxfId="32" priority="3" operator="equal">
      <formula>"⏭"</formula>
    </cfRule>
    <cfRule type="cellIs" dxfId="31" priority="4" operator="equal">
      <formula>"⚠"</formula>
    </cfRule>
  </conditionalFormatting>
  <conditionalFormatting sqref="F17:O17">
    <cfRule type="cellIs" dxfId="30" priority="41" operator="equal">
      <formula>"PASS"</formula>
    </cfRule>
    <cfRule type="cellIs" dxfId="29" priority="42" operator="equal">
      <formula>"FAIL"</formula>
    </cfRule>
    <cfRule type="cellIs" dxfId="28" priority="43" operator="equal">
      <formula>"BLOCKED"</formula>
    </cfRule>
    <cfRule type="cellIs" dxfId="27" priority="44" operator="equal">
      <formula>"SKIP"</formula>
    </cfRule>
  </conditionalFormatting>
  <dataValidations count="2">
    <dataValidation type="list" allowBlank="1" promptTitle="Step Result" prompt="✅=Pass, ❌=Fail, ⏭=Skip, ⚠=Blocked" sqref="F9:O15" xr:uid="{00000000-0002-0000-1D00-000000000000}">
      <formula1>"✅,❌,⏭,⚠"</formula1>
    </dataValidation>
    <dataValidation type="list" allowBlank="1" errorTitle="Invalid Status" error="Please select: PASS, FAIL, BLOCKED, SKIP, or N/A" promptTitle="Status" prompt="Select test result" sqref="F17:O17" xr:uid="{00000000-0002-0000-1D00-00000A000000}">
      <formula1>"PASS,FAIL,BLOCKED,SKIP,N/A"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C3AED"/>
  </sheetPr>
  <dimension ref="A1:Q14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3" t="s">
        <v>763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764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180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181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182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255</v>
      </c>
      <c r="C9" s="23" t="s">
        <v>296</v>
      </c>
      <c r="D9" s="45" t="s">
        <v>232</v>
      </c>
      <c r="E9" s="23" t="s">
        <v>765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255</v>
      </c>
      <c r="C10" s="25" t="s">
        <v>766</v>
      </c>
      <c r="D10" s="48" t="s">
        <v>232</v>
      </c>
      <c r="E10" s="25" t="s">
        <v>767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255</v>
      </c>
      <c r="C11" s="23" t="s">
        <v>768</v>
      </c>
      <c r="D11" s="45" t="s">
        <v>769</v>
      </c>
      <c r="E11" s="23" t="s">
        <v>770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255</v>
      </c>
      <c r="C12" s="25" t="s">
        <v>771</v>
      </c>
      <c r="D12" s="48" t="s">
        <v>769</v>
      </c>
      <c r="E12" s="25" t="s">
        <v>772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4" spans="1:17" ht="27.95" customHeight="1" x14ac:dyDescent="0.25">
      <c r="A14" s="79" t="s">
        <v>227</v>
      </c>
      <c r="B14" s="80"/>
      <c r="C14" s="80"/>
      <c r="D14" s="80"/>
      <c r="E14" s="8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1"/>
    </row>
  </sheetData>
  <mergeCells count="6">
    <mergeCell ref="B4:Q4"/>
    <mergeCell ref="B6:Q6"/>
    <mergeCell ref="A14:E14"/>
    <mergeCell ref="A1:Q1"/>
    <mergeCell ref="B3:Q3"/>
    <mergeCell ref="B5:Q5"/>
  </mergeCells>
  <conditionalFormatting sqref="F9:O12">
    <cfRule type="cellIs" dxfId="26" priority="1" operator="equal">
      <formula>"✅"</formula>
    </cfRule>
    <cfRule type="cellIs" dxfId="25" priority="2" operator="equal">
      <formula>"❌"</formula>
    </cfRule>
    <cfRule type="cellIs" dxfId="24" priority="3" operator="equal">
      <formula>"⏭"</formula>
    </cfRule>
    <cfRule type="cellIs" dxfId="23" priority="4" operator="equal">
      <formula>"⚠"</formula>
    </cfRule>
  </conditionalFormatting>
  <conditionalFormatting sqref="F14:O14">
    <cfRule type="cellIs" dxfId="22" priority="41" operator="equal">
      <formula>"PASS"</formula>
    </cfRule>
    <cfRule type="cellIs" dxfId="21" priority="42" operator="equal">
      <formula>"FAIL"</formula>
    </cfRule>
    <cfRule type="cellIs" dxfId="20" priority="43" operator="equal">
      <formula>"BLOCKED"</formula>
    </cfRule>
    <cfRule type="cellIs" dxfId="19" priority="44" operator="equal">
      <formula>"SKIP"</formula>
    </cfRule>
  </conditionalFormatting>
  <dataValidations count="2">
    <dataValidation type="list" allowBlank="1" promptTitle="Step Result" prompt="✅=Pass, ❌=Fail, ⏭=Skip, ⚠=Blocked" sqref="F9:O12" xr:uid="{00000000-0002-0000-1E00-000000000000}">
      <formula1>"✅,❌,⏭,⚠"</formula1>
    </dataValidation>
    <dataValidation type="list" allowBlank="1" errorTitle="Invalid Status" error="Please select: PASS, FAIL, BLOCKED, SKIP, or N/A" promptTitle="Status" prompt="Select test result" sqref="F14:O14" xr:uid="{00000000-0002-0000-1E00-00000A000000}">
      <formula1>"PASS,FAIL,BLOCKED,SKIP,N/A"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59E0B"/>
  </sheetPr>
  <dimension ref="A1:Q15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7" t="s">
        <v>773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774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185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105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186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775</v>
      </c>
      <c r="C9" s="23" t="s">
        <v>776</v>
      </c>
      <c r="D9" s="45" t="s">
        <v>777</v>
      </c>
      <c r="E9" s="23" t="s">
        <v>778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775</v>
      </c>
      <c r="C10" s="25" t="s">
        <v>779</v>
      </c>
      <c r="D10" s="48" t="s">
        <v>777</v>
      </c>
      <c r="E10" s="25" t="s">
        <v>780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775</v>
      </c>
      <c r="C11" s="23" t="s">
        <v>781</v>
      </c>
      <c r="D11" s="45" t="s">
        <v>777</v>
      </c>
      <c r="E11" s="23" t="s">
        <v>782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775</v>
      </c>
      <c r="C12" s="25" t="s">
        <v>783</v>
      </c>
      <c r="D12" s="48" t="s">
        <v>777</v>
      </c>
      <c r="E12" s="25" t="s">
        <v>784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775</v>
      </c>
      <c r="C13" s="23" t="s">
        <v>785</v>
      </c>
      <c r="D13" s="45" t="s">
        <v>214</v>
      </c>
      <c r="E13" s="23" t="s">
        <v>786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5" spans="1:17" ht="27.95" customHeight="1" x14ac:dyDescent="0.25">
      <c r="A15" s="79" t="s">
        <v>227</v>
      </c>
      <c r="B15" s="80"/>
      <c r="C15" s="80"/>
      <c r="D15" s="80"/>
      <c r="E15" s="8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1"/>
    </row>
  </sheetData>
  <mergeCells count="6">
    <mergeCell ref="A15:E15"/>
    <mergeCell ref="B4:Q4"/>
    <mergeCell ref="B6:Q6"/>
    <mergeCell ref="A1:Q1"/>
    <mergeCell ref="B3:Q3"/>
    <mergeCell ref="B5:Q5"/>
  </mergeCells>
  <conditionalFormatting sqref="F9:O13">
    <cfRule type="cellIs" dxfId="18" priority="1" operator="equal">
      <formula>"✅"</formula>
    </cfRule>
    <cfRule type="cellIs" dxfId="17" priority="2" operator="equal">
      <formula>"❌"</formula>
    </cfRule>
    <cfRule type="cellIs" dxfId="16" priority="3" operator="equal">
      <formula>"⏭"</formula>
    </cfRule>
    <cfRule type="cellIs" dxfId="15" priority="4" operator="equal">
      <formula>"⚠"</formula>
    </cfRule>
  </conditionalFormatting>
  <conditionalFormatting sqref="F15:O15">
    <cfRule type="cellIs" dxfId="14" priority="41" operator="equal">
      <formula>"PASS"</formula>
    </cfRule>
    <cfRule type="cellIs" dxfId="13" priority="42" operator="equal">
      <formula>"FAIL"</formula>
    </cfRule>
    <cfRule type="cellIs" dxfId="12" priority="43" operator="equal">
      <formula>"BLOCKED"</formula>
    </cfRule>
    <cfRule type="cellIs" dxfId="11" priority="44" operator="equal">
      <formula>"SKIP"</formula>
    </cfRule>
  </conditionalFormatting>
  <dataValidations count="2">
    <dataValidation type="list" allowBlank="1" promptTitle="Step Result" prompt="✅=Pass, ❌=Fail, ⏭=Skip, ⚠=Blocked" sqref="F9:O13" xr:uid="{00000000-0002-0000-1F00-000000000000}">
      <formula1>"✅,❌,⏭,⚠"</formula1>
    </dataValidation>
    <dataValidation type="list" allowBlank="1" errorTitle="Invalid Status" error="Please select: PASS, FAIL, BLOCKED, SKIP, or N/A" promptTitle="Status" prompt="Select test result" sqref="F15:O15" xr:uid="{00000000-0002-0000-1F00-00000A000000}">
      <formula1>"PASS,FAIL,BLOCKED,SKIP,N/A"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DC2626"/>
  </sheetPr>
  <dimension ref="A1:Q28"/>
  <sheetViews>
    <sheetView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25" customWidth="1"/>
    <col min="5" max="5" width="50" customWidth="1"/>
    <col min="6" max="15" width="10" customWidth="1"/>
    <col min="16" max="16" width="35" customWidth="1"/>
  </cols>
  <sheetData>
    <row r="1" spans="1:17" ht="32.1" customHeight="1" x14ac:dyDescent="0.25">
      <c r="A1" s="88" t="s">
        <v>787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3" spans="1:17" x14ac:dyDescent="0.25">
      <c r="A3" s="43" t="s">
        <v>193</v>
      </c>
      <c r="B3" s="81" t="s">
        <v>788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1:17" x14ac:dyDescent="0.25">
      <c r="A4" s="43" t="s">
        <v>195</v>
      </c>
      <c r="B4" s="81" t="s">
        <v>114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x14ac:dyDescent="0.25">
      <c r="A5" s="43" t="s">
        <v>196</v>
      </c>
      <c r="B5" s="81" t="s">
        <v>189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1:17" x14ac:dyDescent="0.25">
      <c r="A6" s="43" t="s">
        <v>197</v>
      </c>
      <c r="B6" s="81" t="s">
        <v>190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8" spans="1:17" x14ac:dyDescent="0.25">
      <c r="A8" s="4" t="s">
        <v>29</v>
      </c>
      <c r="B8" s="4" t="s">
        <v>198</v>
      </c>
      <c r="C8" s="4" t="s">
        <v>199</v>
      </c>
      <c r="D8" s="4" t="s">
        <v>200</v>
      </c>
      <c r="E8" s="4" t="s">
        <v>201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202</v>
      </c>
    </row>
    <row r="9" spans="1:17" ht="30" customHeight="1" x14ac:dyDescent="0.25">
      <c r="A9" s="29">
        <v>1</v>
      </c>
      <c r="B9" s="44" t="s">
        <v>255</v>
      </c>
      <c r="C9" s="23" t="s">
        <v>789</v>
      </c>
      <c r="D9" s="45" t="s">
        <v>257</v>
      </c>
      <c r="E9" s="23" t="s">
        <v>790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ht="30" customHeight="1" x14ac:dyDescent="0.25">
      <c r="A10" s="33">
        <v>2</v>
      </c>
      <c r="B10" s="47" t="s">
        <v>212</v>
      </c>
      <c r="C10" s="25" t="s">
        <v>791</v>
      </c>
      <c r="D10" s="48" t="s">
        <v>217</v>
      </c>
      <c r="E10" s="25" t="s">
        <v>273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30" customHeight="1" x14ac:dyDescent="0.25">
      <c r="A11" s="29">
        <v>3</v>
      </c>
      <c r="B11" s="44" t="s">
        <v>149</v>
      </c>
      <c r="C11" s="23" t="s">
        <v>792</v>
      </c>
      <c r="D11" s="45" t="s">
        <v>210</v>
      </c>
      <c r="E11" s="23" t="s">
        <v>793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ht="30" customHeight="1" x14ac:dyDescent="0.25">
      <c r="A12" s="33">
        <v>4</v>
      </c>
      <c r="B12" s="47" t="s">
        <v>149</v>
      </c>
      <c r="C12" s="25" t="s">
        <v>794</v>
      </c>
      <c r="D12" s="48" t="s">
        <v>225</v>
      </c>
      <c r="E12" s="25" t="s">
        <v>795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30" customHeight="1" x14ac:dyDescent="0.25">
      <c r="A13" s="29">
        <v>5</v>
      </c>
      <c r="B13" s="44" t="s">
        <v>255</v>
      </c>
      <c r="C13" s="23" t="s">
        <v>796</v>
      </c>
      <c r="D13" s="45" t="s">
        <v>365</v>
      </c>
      <c r="E13" s="23" t="s">
        <v>368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30" customHeight="1" x14ac:dyDescent="0.25">
      <c r="A14" s="33">
        <v>6</v>
      </c>
      <c r="B14" s="47" t="s">
        <v>149</v>
      </c>
      <c r="C14" s="25" t="s">
        <v>797</v>
      </c>
      <c r="D14" s="48" t="s">
        <v>225</v>
      </c>
      <c r="E14" s="25" t="s">
        <v>798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17" ht="30" customHeight="1" x14ac:dyDescent="0.25">
      <c r="A15" s="29">
        <v>7</v>
      </c>
      <c r="B15" s="44" t="s">
        <v>255</v>
      </c>
      <c r="C15" s="23" t="s">
        <v>799</v>
      </c>
      <c r="D15" s="45" t="s">
        <v>232</v>
      </c>
      <c r="E15" s="23" t="s">
        <v>800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30" customHeight="1" x14ac:dyDescent="0.25">
      <c r="A16" s="33">
        <v>8</v>
      </c>
      <c r="B16" s="47" t="s">
        <v>149</v>
      </c>
      <c r="C16" s="25" t="s">
        <v>801</v>
      </c>
      <c r="D16" s="48" t="s">
        <v>301</v>
      </c>
      <c r="E16" s="25" t="s">
        <v>802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30" customHeight="1" x14ac:dyDescent="0.25">
      <c r="A17" s="29">
        <v>9</v>
      </c>
      <c r="B17" s="44" t="s">
        <v>149</v>
      </c>
      <c r="C17" s="23" t="s">
        <v>803</v>
      </c>
      <c r="D17" s="45" t="s">
        <v>291</v>
      </c>
      <c r="E17" s="23" t="s">
        <v>804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ht="30" customHeight="1" x14ac:dyDescent="0.25">
      <c r="A18" s="33">
        <v>10</v>
      </c>
      <c r="B18" s="47" t="s">
        <v>255</v>
      </c>
      <c r="C18" s="25" t="s">
        <v>805</v>
      </c>
      <c r="D18" s="48" t="s">
        <v>232</v>
      </c>
      <c r="E18" s="25" t="s">
        <v>806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ht="30" customHeight="1" x14ac:dyDescent="0.25">
      <c r="A19" s="29">
        <v>11</v>
      </c>
      <c r="B19" s="44" t="s">
        <v>149</v>
      </c>
      <c r="C19" s="23" t="s">
        <v>807</v>
      </c>
      <c r="D19" s="45" t="s">
        <v>301</v>
      </c>
      <c r="E19" s="23" t="s">
        <v>808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17" ht="30" customHeight="1" x14ac:dyDescent="0.25">
      <c r="A20" s="33">
        <v>12</v>
      </c>
      <c r="B20" s="47" t="s">
        <v>212</v>
      </c>
      <c r="C20" s="25" t="s">
        <v>809</v>
      </c>
      <c r="D20" s="48" t="s">
        <v>217</v>
      </c>
      <c r="E20" s="25" t="s">
        <v>810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ht="30" customHeight="1" x14ac:dyDescent="0.25">
      <c r="A21" s="29">
        <v>13</v>
      </c>
      <c r="B21" s="44" t="s">
        <v>149</v>
      </c>
      <c r="C21" s="23" t="s">
        <v>811</v>
      </c>
      <c r="D21" s="45" t="s">
        <v>301</v>
      </c>
      <c r="E21" s="23" t="s">
        <v>383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ht="30" customHeight="1" x14ac:dyDescent="0.25">
      <c r="A22" s="33">
        <v>14</v>
      </c>
      <c r="B22" s="47" t="s">
        <v>255</v>
      </c>
      <c r="C22" s="25" t="s">
        <v>812</v>
      </c>
      <c r="D22" s="48" t="s">
        <v>232</v>
      </c>
      <c r="E22" s="25" t="s">
        <v>813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</row>
    <row r="23" spans="1:17" ht="30" customHeight="1" x14ac:dyDescent="0.25">
      <c r="A23" s="29">
        <v>15</v>
      </c>
      <c r="B23" s="44" t="s">
        <v>149</v>
      </c>
      <c r="C23" s="23" t="s">
        <v>814</v>
      </c>
      <c r="D23" s="45" t="s">
        <v>301</v>
      </c>
      <c r="E23" s="23" t="s">
        <v>815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17" ht="30" customHeight="1" x14ac:dyDescent="0.25">
      <c r="A24" s="33">
        <v>16</v>
      </c>
      <c r="B24" s="47" t="s">
        <v>255</v>
      </c>
      <c r="C24" s="25" t="s">
        <v>816</v>
      </c>
      <c r="D24" s="48" t="s">
        <v>232</v>
      </c>
      <c r="E24" s="25" t="s">
        <v>443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</row>
    <row r="25" spans="1:17" ht="30" customHeight="1" x14ac:dyDescent="0.25">
      <c r="A25" s="29">
        <v>17</v>
      </c>
      <c r="B25" s="44" t="s">
        <v>212</v>
      </c>
      <c r="C25" s="23" t="s">
        <v>817</v>
      </c>
      <c r="D25" s="45" t="s">
        <v>217</v>
      </c>
      <c r="E25" s="23" t="s">
        <v>818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7" ht="30" customHeight="1" x14ac:dyDescent="0.25">
      <c r="A26" s="33">
        <v>18</v>
      </c>
      <c r="B26" s="47" t="s">
        <v>255</v>
      </c>
      <c r="C26" s="25" t="s">
        <v>819</v>
      </c>
      <c r="D26" s="48" t="s">
        <v>232</v>
      </c>
      <c r="E26" s="25" t="s">
        <v>820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8" spans="1:17" ht="27.95" customHeight="1" x14ac:dyDescent="0.25">
      <c r="A28" s="79" t="s">
        <v>227</v>
      </c>
      <c r="B28" s="80"/>
      <c r="C28" s="80"/>
      <c r="D28" s="80"/>
      <c r="E28" s="8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1"/>
    </row>
  </sheetData>
  <mergeCells count="6">
    <mergeCell ref="A28:E28"/>
    <mergeCell ref="B4:Q4"/>
    <mergeCell ref="B6:Q6"/>
    <mergeCell ref="A1:Q1"/>
    <mergeCell ref="B3:Q3"/>
    <mergeCell ref="B5:Q5"/>
  </mergeCells>
  <conditionalFormatting sqref="F9:O26">
    <cfRule type="cellIs" dxfId="10" priority="1" operator="equal">
      <formula>"✅"</formula>
    </cfRule>
    <cfRule type="cellIs" dxfId="9" priority="2" operator="equal">
      <formula>"❌"</formula>
    </cfRule>
    <cfRule type="cellIs" dxfId="8" priority="3" operator="equal">
      <formula>"⏭"</formula>
    </cfRule>
    <cfRule type="cellIs" dxfId="7" priority="4" operator="equal">
      <formula>"⚠"</formula>
    </cfRule>
  </conditionalFormatting>
  <conditionalFormatting sqref="F28:O28">
    <cfRule type="cellIs" dxfId="6" priority="41" operator="equal">
      <formula>"PASS"</formula>
    </cfRule>
    <cfRule type="cellIs" dxfId="5" priority="42" operator="equal">
      <formula>"FAIL"</formula>
    </cfRule>
    <cfRule type="cellIs" dxfId="4" priority="43" operator="equal">
      <formula>"BLOCKED"</formula>
    </cfRule>
    <cfRule type="cellIs" dxfId="3" priority="44" operator="equal">
      <formula>"SKIP"</formula>
    </cfRule>
  </conditionalFormatting>
  <dataValidations count="2">
    <dataValidation type="list" allowBlank="1" promptTitle="Step Result" prompt="✅=Pass, ❌=Fail, ⏭=Skip, ⚠=Blocked" sqref="F9:O26" xr:uid="{00000000-0002-0000-2000-000000000000}">
      <formula1>"✅,❌,⏭,⚠"</formula1>
    </dataValidation>
    <dataValidation type="list" allowBlank="1" errorTitle="Invalid Status" error="Please select: PASS, FAIL, BLOCKED, SKIP, or N/A" promptTitle="Status" prompt="Select test result" sqref="F28:O28" xr:uid="{00000000-0002-0000-2000-00000A000000}">
      <formula1>"PASS,FAIL,BLOCKED,SKIP,N/A"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6C757D"/>
  </sheetPr>
  <dimension ref="A1:G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5" customWidth="1"/>
    <col min="3" max="3" width="14" customWidth="1"/>
    <col min="4" max="4" width="25" customWidth="1"/>
    <col min="5" max="5" width="10" customWidth="1"/>
    <col min="6" max="6" width="25" customWidth="1"/>
    <col min="7" max="7" width="20" customWidth="1"/>
  </cols>
  <sheetData>
    <row r="1" spans="1:7" ht="30" customHeight="1" x14ac:dyDescent="0.25">
      <c r="A1" s="78" t="s">
        <v>821</v>
      </c>
      <c r="B1" s="63"/>
      <c r="C1" s="63"/>
      <c r="D1" s="63"/>
      <c r="E1" s="63"/>
      <c r="F1" s="63"/>
      <c r="G1" s="63"/>
    </row>
    <row r="2" spans="1:7" ht="17.25" x14ac:dyDescent="0.3">
      <c r="A2" s="90" t="s">
        <v>822</v>
      </c>
      <c r="B2" s="63"/>
      <c r="C2" s="63"/>
      <c r="D2" s="63"/>
      <c r="E2" s="63"/>
      <c r="F2" s="63"/>
      <c r="G2" s="63"/>
    </row>
    <row r="4" spans="1:7" ht="17.25" x14ac:dyDescent="0.3">
      <c r="A4" s="62" t="s">
        <v>823</v>
      </c>
      <c r="B4" s="63"/>
      <c r="C4" s="63"/>
      <c r="D4" s="63"/>
      <c r="E4" s="63"/>
      <c r="F4" s="63"/>
      <c r="G4" s="63"/>
    </row>
    <row r="5" spans="1:7" x14ac:dyDescent="0.25">
      <c r="A5" s="4" t="s">
        <v>824</v>
      </c>
      <c r="B5" s="4" t="s">
        <v>825</v>
      </c>
      <c r="C5" s="4" t="s">
        <v>826</v>
      </c>
      <c r="D5" s="4" t="s">
        <v>827</v>
      </c>
      <c r="E5" s="4" t="s">
        <v>14</v>
      </c>
      <c r="F5" s="4" t="s">
        <v>36</v>
      </c>
      <c r="G5" s="4" t="s">
        <v>828</v>
      </c>
    </row>
    <row r="6" spans="1:7" x14ac:dyDescent="0.25">
      <c r="A6" s="52" t="s">
        <v>719</v>
      </c>
      <c r="B6" s="52" t="s">
        <v>829</v>
      </c>
      <c r="C6" s="52" t="s">
        <v>830</v>
      </c>
      <c r="D6" s="52" t="s">
        <v>831</v>
      </c>
      <c r="E6" s="52" t="s">
        <v>222</v>
      </c>
      <c r="F6" s="52" t="s">
        <v>832</v>
      </c>
      <c r="G6" s="52" t="s">
        <v>222</v>
      </c>
    </row>
    <row r="7" spans="1:7" x14ac:dyDescent="0.25">
      <c r="A7" s="25" t="s">
        <v>167</v>
      </c>
      <c r="B7" s="25" t="s">
        <v>833</v>
      </c>
      <c r="C7" s="25" t="s">
        <v>834</v>
      </c>
      <c r="D7" s="25" t="s">
        <v>835</v>
      </c>
      <c r="E7" s="25" t="s">
        <v>222</v>
      </c>
      <c r="F7" s="25" t="s">
        <v>836</v>
      </c>
      <c r="G7" s="25" t="s">
        <v>222</v>
      </c>
    </row>
    <row r="8" spans="1:7" x14ac:dyDescent="0.25">
      <c r="A8" s="52" t="s">
        <v>837</v>
      </c>
      <c r="B8" s="52" t="s">
        <v>838</v>
      </c>
      <c r="C8" s="52" t="s">
        <v>839</v>
      </c>
      <c r="D8" s="52" t="s">
        <v>840</v>
      </c>
      <c r="E8" s="52" t="s">
        <v>222</v>
      </c>
      <c r="F8" s="52" t="s">
        <v>841</v>
      </c>
      <c r="G8" s="52" t="s">
        <v>222</v>
      </c>
    </row>
    <row r="10" spans="1:7" ht="17.25" x14ac:dyDescent="0.3">
      <c r="A10" s="62" t="s">
        <v>842</v>
      </c>
      <c r="B10" s="63"/>
      <c r="C10" s="63"/>
      <c r="D10" s="63"/>
      <c r="E10" s="63"/>
      <c r="F10" s="63"/>
      <c r="G10" s="63"/>
    </row>
    <row r="11" spans="1:7" x14ac:dyDescent="0.25">
      <c r="A11" s="4" t="s">
        <v>824</v>
      </c>
      <c r="B11" s="4" t="s">
        <v>825</v>
      </c>
      <c r="C11" s="4" t="s">
        <v>826</v>
      </c>
      <c r="D11" s="4" t="s">
        <v>827</v>
      </c>
      <c r="E11" s="4" t="s">
        <v>14</v>
      </c>
      <c r="F11" s="4" t="s">
        <v>36</v>
      </c>
      <c r="G11" s="4" t="s">
        <v>828</v>
      </c>
    </row>
    <row r="12" spans="1:7" ht="30" x14ac:dyDescent="0.25">
      <c r="A12" s="23" t="s">
        <v>255</v>
      </c>
      <c r="B12" s="23" t="s">
        <v>843</v>
      </c>
      <c r="C12" s="23" t="s">
        <v>844</v>
      </c>
      <c r="D12" s="23" t="s">
        <v>845</v>
      </c>
      <c r="E12" s="23" t="s">
        <v>846</v>
      </c>
      <c r="F12" s="23" t="s">
        <v>847</v>
      </c>
      <c r="G12" s="23" t="s">
        <v>848</v>
      </c>
    </row>
    <row r="13" spans="1:7" ht="30" x14ac:dyDescent="0.25">
      <c r="A13" s="25" t="s">
        <v>340</v>
      </c>
      <c r="B13" s="25" t="s">
        <v>849</v>
      </c>
      <c r="C13" s="25" t="s">
        <v>844</v>
      </c>
      <c r="D13" s="25" t="s">
        <v>850</v>
      </c>
      <c r="E13" s="25" t="s">
        <v>851</v>
      </c>
      <c r="F13" s="25" t="s">
        <v>852</v>
      </c>
      <c r="G13" s="25" t="s">
        <v>853</v>
      </c>
    </row>
    <row r="14" spans="1:7" ht="30" x14ac:dyDescent="0.25">
      <c r="A14" s="23" t="s">
        <v>362</v>
      </c>
      <c r="B14" s="23" t="s">
        <v>854</v>
      </c>
      <c r="C14" s="23" t="s">
        <v>844</v>
      </c>
      <c r="D14" s="23" t="s">
        <v>855</v>
      </c>
      <c r="E14" s="23" t="s">
        <v>856</v>
      </c>
      <c r="F14" s="23" t="s">
        <v>857</v>
      </c>
      <c r="G14" s="23" t="s">
        <v>222</v>
      </c>
    </row>
    <row r="15" spans="1:7" ht="30" x14ac:dyDescent="0.25">
      <c r="A15" s="25" t="s">
        <v>858</v>
      </c>
      <c r="B15" s="25" t="s">
        <v>859</v>
      </c>
      <c r="C15" s="25" t="s">
        <v>844</v>
      </c>
      <c r="D15" s="25" t="s">
        <v>855</v>
      </c>
      <c r="E15" s="25" t="s">
        <v>856</v>
      </c>
      <c r="F15" s="25" t="s">
        <v>860</v>
      </c>
      <c r="G15" s="25" t="s">
        <v>222</v>
      </c>
    </row>
    <row r="16" spans="1:7" ht="30" x14ac:dyDescent="0.25">
      <c r="A16" s="23" t="s">
        <v>861</v>
      </c>
      <c r="B16" s="23" t="s">
        <v>862</v>
      </c>
      <c r="C16" s="23" t="s">
        <v>844</v>
      </c>
      <c r="D16" s="23" t="s">
        <v>855</v>
      </c>
      <c r="E16" s="23" t="s">
        <v>856</v>
      </c>
      <c r="F16" s="23" t="s">
        <v>863</v>
      </c>
      <c r="G16" s="23" t="s">
        <v>222</v>
      </c>
    </row>
    <row r="18" spans="1:7" ht="17.25" x14ac:dyDescent="0.3">
      <c r="A18" s="62" t="s">
        <v>864</v>
      </c>
      <c r="B18" s="63"/>
      <c r="C18" s="63"/>
      <c r="D18" s="63"/>
      <c r="E18" s="63"/>
      <c r="F18" s="63"/>
      <c r="G18" s="63"/>
    </row>
    <row r="19" spans="1:7" x14ac:dyDescent="0.25">
      <c r="A19" s="4" t="s">
        <v>824</v>
      </c>
      <c r="B19" s="4" t="s">
        <v>825</v>
      </c>
      <c r="C19" s="4" t="s">
        <v>826</v>
      </c>
      <c r="D19" s="4" t="s">
        <v>827</v>
      </c>
      <c r="E19" s="4" t="s">
        <v>14</v>
      </c>
      <c r="F19" s="4" t="s">
        <v>36</v>
      </c>
      <c r="G19" s="4" t="s">
        <v>828</v>
      </c>
    </row>
    <row r="20" spans="1:7" ht="30" x14ac:dyDescent="0.25">
      <c r="A20" s="23" t="s">
        <v>149</v>
      </c>
      <c r="B20" s="23" t="s">
        <v>865</v>
      </c>
      <c r="C20" s="23" t="s">
        <v>866</v>
      </c>
      <c r="D20" s="23" t="s">
        <v>867</v>
      </c>
      <c r="E20" s="23" t="s">
        <v>868</v>
      </c>
      <c r="F20" s="23" t="s">
        <v>869</v>
      </c>
      <c r="G20" s="23" t="s">
        <v>870</v>
      </c>
    </row>
    <row r="21" spans="1:7" ht="30" x14ac:dyDescent="0.25">
      <c r="A21" s="25" t="s">
        <v>334</v>
      </c>
      <c r="B21" s="25" t="s">
        <v>871</v>
      </c>
      <c r="C21" s="25" t="s">
        <v>866</v>
      </c>
      <c r="D21" s="25" t="s">
        <v>867</v>
      </c>
      <c r="E21" s="25" t="s">
        <v>868</v>
      </c>
      <c r="F21" s="25" t="s">
        <v>872</v>
      </c>
      <c r="G21" s="25" t="s">
        <v>873</v>
      </c>
    </row>
    <row r="22" spans="1:7" ht="30" x14ac:dyDescent="0.25">
      <c r="A22" s="23" t="s">
        <v>357</v>
      </c>
      <c r="B22" s="23" t="s">
        <v>874</v>
      </c>
      <c r="C22" s="23" t="s">
        <v>866</v>
      </c>
      <c r="D22" s="23" t="s">
        <v>867</v>
      </c>
      <c r="E22" s="23" t="s">
        <v>875</v>
      </c>
      <c r="F22" s="23" t="s">
        <v>876</v>
      </c>
      <c r="G22" s="23" t="s">
        <v>877</v>
      </c>
    </row>
    <row r="23" spans="1:7" x14ac:dyDescent="0.25">
      <c r="A23" s="25" t="s">
        <v>230</v>
      </c>
      <c r="B23" s="25" t="s">
        <v>878</v>
      </c>
      <c r="C23" s="25" t="s">
        <v>866</v>
      </c>
      <c r="D23" s="25" t="s">
        <v>867</v>
      </c>
      <c r="E23" s="25" t="s">
        <v>856</v>
      </c>
      <c r="F23" s="25" t="s">
        <v>222</v>
      </c>
      <c r="G23" s="25" t="s">
        <v>222</v>
      </c>
    </row>
    <row r="24" spans="1:7" x14ac:dyDescent="0.25">
      <c r="A24" s="23" t="s">
        <v>775</v>
      </c>
      <c r="B24" s="23" t="s">
        <v>879</v>
      </c>
      <c r="C24" s="23" t="s">
        <v>866</v>
      </c>
      <c r="D24" s="23" t="s">
        <v>867</v>
      </c>
      <c r="E24" s="23" t="s">
        <v>856</v>
      </c>
      <c r="F24" s="23" t="s">
        <v>880</v>
      </c>
      <c r="G24" s="23" t="s">
        <v>222</v>
      </c>
    </row>
    <row r="26" spans="1:7" ht="17.25" x14ac:dyDescent="0.3">
      <c r="A26" s="62" t="s">
        <v>881</v>
      </c>
      <c r="B26" s="63"/>
      <c r="C26" s="63"/>
      <c r="D26" s="63"/>
      <c r="E26" s="63"/>
      <c r="F26" s="63"/>
      <c r="G26" s="63"/>
    </row>
    <row r="27" spans="1:7" x14ac:dyDescent="0.25">
      <c r="A27" s="4" t="s">
        <v>30</v>
      </c>
      <c r="B27" s="4" t="s">
        <v>882</v>
      </c>
      <c r="C27" s="4" t="s">
        <v>883</v>
      </c>
      <c r="D27" s="4" t="s">
        <v>884</v>
      </c>
      <c r="E27" s="4" t="s">
        <v>885</v>
      </c>
      <c r="F27" s="4" t="s">
        <v>886</v>
      </c>
      <c r="G27" s="4" t="s">
        <v>887</v>
      </c>
    </row>
    <row r="28" spans="1:7" ht="30" x14ac:dyDescent="0.25">
      <c r="A28" s="23" t="s">
        <v>888</v>
      </c>
      <c r="B28" s="23" t="s">
        <v>889</v>
      </c>
      <c r="C28" s="23" t="s">
        <v>890</v>
      </c>
      <c r="D28" s="23" t="s">
        <v>891</v>
      </c>
      <c r="E28" s="23" t="s">
        <v>892</v>
      </c>
      <c r="F28" s="23" t="s">
        <v>893</v>
      </c>
      <c r="G28" s="23" t="s">
        <v>894</v>
      </c>
    </row>
    <row r="29" spans="1:7" x14ac:dyDescent="0.25">
      <c r="A29" s="25" t="s">
        <v>895</v>
      </c>
      <c r="B29" s="25" t="s">
        <v>896</v>
      </c>
      <c r="C29" s="25" t="s">
        <v>890</v>
      </c>
      <c r="D29" s="25" t="s">
        <v>891</v>
      </c>
      <c r="E29" s="25" t="s">
        <v>892</v>
      </c>
      <c r="F29" s="25" t="s">
        <v>893</v>
      </c>
      <c r="G29" s="25" t="s">
        <v>147</v>
      </c>
    </row>
    <row r="30" spans="1:7" ht="30" x14ac:dyDescent="0.25">
      <c r="A30" s="23" t="s">
        <v>897</v>
      </c>
      <c r="B30" s="23" t="s">
        <v>898</v>
      </c>
      <c r="C30" s="23" t="s">
        <v>890</v>
      </c>
      <c r="D30" s="23" t="s">
        <v>891</v>
      </c>
      <c r="E30" s="23" t="s">
        <v>892</v>
      </c>
      <c r="F30" s="23" t="s">
        <v>899</v>
      </c>
      <c r="G30" s="23" t="s">
        <v>147</v>
      </c>
    </row>
    <row r="31" spans="1:7" ht="30" x14ac:dyDescent="0.25">
      <c r="A31" s="25" t="s">
        <v>900</v>
      </c>
      <c r="B31" s="25" t="s">
        <v>901</v>
      </c>
      <c r="C31" s="25" t="s">
        <v>890</v>
      </c>
      <c r="D31" s="25" t="s">
        <v>891</v>
      </c>
      <c r="E31" s="25" t="s">
        <v>892</v>
      </c>
      <c r="F31" s="25" t="s">
        <v>902</v>
      </c>
      <c r="G31" s="25" t="s">
        <v>147</v>
      </c>
    </row>
    <row r="32" spans="1:7" x14ac:dyDescent="0.25">
      <c r="A32" s="23" t="s">
        <v>903</v>
      </c>
      <c r="B32" s="23" t="s">
        <v>904</v>
      </c>
      <c r="C32" s="23" t="s">
        <v>890</v>
      </c>
      <c r="D32" s="23" t="s">
        <v>891</v>
      </c>
      <c r="E32" s="23" t="s">
        <v>892</v>
      </c>
      <c r="F32" s="23" t="s">
        <v>905</v>
      </c>
      <c r="G32" s="23" t="s">
        <v>147</v>
      </c>
    </row>
    <row r="33" spans="1:7" ht="30" x14ac:dyDescent="0.25">
      <c r="A33" s="25" t="s">
        <v>906</v>
      </c>
      <c r="B33" s="25" t="s">
        <v>907</v>
      </c>
      <c r="C33" s="25" t="s">
        <v>890</v>
      </c>
      <c r="D33" s="25" t="s">
        <v>891</v>
      </c>
      <c r="E33" s="25" t="s">
        <v>892</v>
      </c>
      <c r="F33" s="25" t="s">
        <v>908</v>
      </c>
      <c r="G33" s="25" t="s">
        <v>147</v>
      </c>
    </row>
    <row r="34" spans="1:7" ht="30" x14ac:dyDescent="0.25">
      <c r="A34" s="23" t="s">
        <v>909</v>
      </c>
      <c r="B34" s="23" t="s">
        <v>910</v>
      </c>
      <c r="C34" s="23" t="s">
        <v>890</v>
      </c>
      <c r="D34" s="23" t="s">
        <v>891</v>
      </c>
      <c r="E34" s="23" t="s">
        <v>892</v>
      </c>
      <c r="F34" s="23" t="s">
        <v>911</v>
      </c>
      <c r="G34" s="23" t="s">
        <v>147</v>
      </c>
    </row>
    <row r="36" spans="1:7" ht="17.25" x14ac:dyDescent="0.3">
      <c r="A36" s="62" t="s">
        <v>912</v>
      </c>
      <c r="B36" s="63"/>
      <c r="C36" s="63"/>
      <c r="D36" s="63"/>
      <c r="E36" s="63"/>
      <c r="F36" s="63"/>
      <c r="G36" s="63"/>
    </row>
    <row r="37" spans="1:7" x14ac:dyDescent="0.25">
      <c r="A37" s="53" t="s">
        <v>913</v>
      </c>
      <c r="B37" s="89" t="s">
        <v>914</v>
      </c>
      <c r="C37" s="63"/>
      <c r="D37" s="63"/>
      <c r="E37" s="63"/>
      <c r="F37" s="63"/>
      <c r="G37" s="63"/>
    </row>
    <row r="38" spans="1:7" x14ac:dyDescent="0.25">
      <c r="A38" s="53" t="s">
        <v>915</v>
      </c>
      <c r="B38" s="89" t="s">
        <v>916</v>
      </c>
      <c r="C38" s="63"/>
      <c r="D38" s="63"/>
      <c r="E38" s="63"/>
      <c r="F38" s="63"/>
      <c r="G38" s="63"/>
    </row>
    <row r="39" spans="1:7" x14ac:dyDescent="0.25">
      <c r="A39" s="53" t="s">
        <v>917</v>
      </c>
      <c r="B39" s="89" t="s">
        <v>918</v>
      </c>
      <c r="C39" s="63"/>
      <c r="D39" s="63"/>
      <c r="E39" s="63"/>
      <c r="F39" s="63"/>
      <c r="G39" s="63"/>
    </row>
    <row r="40" spans="1:7" x14ac:dyDescent="0.25">
      <c r="A40" s="53" t="s">
        <v>919</v>
      </c>
      <c r="B40" s="89" t="s">
        <v>920</v>
      </c>
      <c r="C40" s="63"/>
      <c r="D40" s="63"/>
      <c r="E40" s="63"/>
      <c r="F40" s="63"/>
      <c r="G40" s="63"/>
    </row>
    <row r="41" spans="1:7" x14ac:dyDescent="0.25">
      <c r="A41" s="53" t="s">
        <v>921</v>
      </c>
      <c r="B41" s="89" t="s">
        <v>922</v>
      </c>
      <c r="C41" s="63"/>
      <c r="D41" s="63"/>
      <c r="E41" s="63"/>
      <c r="F41" s="63"/>
      <c r="G41" s="63"/>
    </row>
    <row r="42" spans="1:7" x14ac:dyDescent="0.25">
      <c r="A42" s="53" t="s">
        <v>923</v>
      </c>
      <c r="B42" s="89" t="s">
        <v>924</v>
      </c>
      <c r="C42" s="63"/>
      <c r="D42" s="63"/>
      <c r="E42" s="63"/>
      <c r="F42" s="63"/>
      <c r="G42" s="63"/>
    </row>
  </sheetData>
  <mergeCells count="13">
    <mergeCell ref="B42:G42"/>
    <mergeCell ref="B37:G37"/>
    <mergeCell ref="B41:G41"/>
    <mergeCell ref="A4:G4"/>
    <mergeCell ref="A26:G26"/>
    <mergeCell ref="B40:G40"/>
    <mergeCell ref="A10:G10"/>
    <mergeCell ref="B38:G38"/>
    <mergeCell ref="A36:G36"/>
    <mergeCell ref="A1:G1"/>
    <mergeCell ref="B39:G39"/>
    <mergeCell ref="A18:G18"/>
    <mergeCell ref="A2:G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2563EB"/>
  </sheetPr>
  <dimension ref="A1:E3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50" customWidth="1"/>
    <col min="3" max="3" width="14" customWidth="1"/>
    <col min="4" max="4" width="16" customWidth="1"/>
    <col min="5" max="5" width="14" customWidth="1"/>
  </cols>
  <sheetData>
    <row r="1" spans="1:5" ht="30" customHeight="1" x14ac:dyDescent="0.25">
      <c r="A1" s="78" t="s">
        <v>925</v>
      </c>
      <c r="B1" s="63"/>
      <c r="C1" s="63"/>
      <c r="D1" s="63"/>
      <c r="E1" s="63"/>
    </row>
    <row r="3" spans="1:5" x14ac:dyDescent="0.25">
      <c r="A3" s="4" t="s">
        <v>926</v>
      </c>
      <c r="B3" s="4" t="s">
        <v>927</v>
      </c>
      <c r="C3" s="4" t="s">
        <v>928</v>
      </c>
      <c r="D3" s="4" t="s">
        <v>929</v>
      </c>
      <c r="E3" s="4" t="s">
        <v>24</v>
      </c>
    </row>
    <row r="4" spans="1:5" x14ac:dyDescent="0.25">
      <c r="A4" s="55" t="s">
        <v>930</v>
      </c>
      <c r="B4" s="56" t="s">
        <v>931</v>
      </c>
      <c r="C4" s="29">
        <v>2</v>
      </c>
      <c r="D4" s="57"/>
      <c r="E4" s="6"/>
    </row>
    <row r="5" spans="1:5" x14ac:dyDescent="0.25">
      <c r="A5" s="54" t="s">
        <v>932</v>
      </c>
      <c r="B5" s="58" t="s">
        <v>80</v>
      </c>
      <c r="C5" s="33">
        <v>1</v>
      </c>
      <c r="D5" s="59"/>
      <c r="E5" s="13"/>
    </row>
    <row r="6" spans="1:5" x14ac:dyDescent="0.25">
      <c r="A6" s="55" t="s">
        <v>933</v>
      </c>
      <c r="B6" s="56" t="s">
        <v>934</v>
      </c>
      <c r="C6" s="29">
        <v>3</v>
      </c>
      <c r="D6" s="57"/>
      <c r="E6" s="6"/>
    </row>
    <row r="7" spans="1:5" x14ac:dyDescent="0.25">
      <c r="A7" s="54" t="s">
        <v>935</v>
      </c>
      <c r="B7" s="58" t="s">
        <v>936</v>
      </c>
      <c r="C7" s="33">
        <v>3</v>
      </c>
      <c r="D7" s="59"/>
      <c r="E7" s="13"/>
    </row>
    <row r="8" spans="1:5" x14ac:dyDescent="0.25">
      <c r="A8" s="55" t="s">
        <v>937</v>
      </c>
      <c r="B8" s="56" t="s">
        <v>938</v>
      </c>
      <c r="C8" s="29">
        <v>2</v>
      </c>
      <c r="D8" s="57"/>
      <c r="E8" s="6"/>
    </row>
    <row r="9" spans="1:5" x14ac:dyDescent="0.25">
      <c r="A9" s="54" t="s">
        <v>939</v>
      </c>
      <c r="B9" s="58" t="s">
        <v>98</v>
      </c>
      <c r="C9" s="33">
        <v>1</v>
      </c>
      <c r="D9" s="59"/>
      <c r="E9" s="13"/>
    </row>
    <row r="10" spans="1:5" x14ac:dyDescent="0.25">
      <c r="A10" s="55" t="s">
        <v>940</v>
      </c>
      <c r="B10" s="56" t="s">
        <v>162</v>
      </c>
      <c r="C10" s="29">
        <v>1</v>
      </c>
      <c r="D10" s="57"/>
      <c r="E10" s="6"/>
    </row>
    <row r="11" spans="1:5" x14ac:dyDescent="0.25">
      <c r="A11" s="54" t="s">
        <v>941</v>
      </c>
      <c r="B11" s="58" t="s">
        <v>102</v>
      </c>
      <c r="C11" s="33">
        <v>1</v>
      </c>
      <c r="D11" s="59"/>
      <c r="E11" s="13"/>
    </row>
    <row r="12" spans="1:5" x14ac:dyDescent="0.25">
      <c r="A12" s="55" t="s">
        <v>942</v>
      </c>
      <c r="B12" s="56" t="s">
        <v>943</v>
      </c>
      <c r="C12" s="29">
        <v>2</v>
      </c>
      <c r="D12" s="57"/>
      <c r="E12" s="6"/>
    </row>
    <row r="13" spans="1:5" x14ac:dyDescent="0.25">
      <c r="A13" s="54" t="s">
        <v>944</v>
      </c>
      <c r="B13" s="58" t="s">
        <v>110</v>
      </c>
      <c r="C13" s="33">
        <v>1</v>
      </c>
      <c r="D13" s="59"/>
      <c r="E13" s="13"/>
    </row>
    <row r="14" spans="1:5" x14ac:dyDescent="0.25">
      <c r="A14" s="55" t="s">
        <v>945</v>
      </c>
      <c r="B14" s="56" t="s">
        <v>112</v>
      </c>
      <c r="C14" s="29">
        <v>1</v>
      </c>
      <c r="D14" s="57"/>
      <c r="E14" s="6"/>
    </row>
    <row r="15" spans="1:5" x14ac:dyDescent="0.25">
      <c r="A15" s="54" t="s">
        <v>946</v>
      </c>
      <c r="B15" s="58" t="s">
        <v>116</v>
      </c>
      <c r="C15" s="33">
        <v>1</v>
      </c>
      <c r="D15" s="59"/>
      <c r="E15" s="13"/>
    </row>
    <row r="16" spans="1:5" x14ac:dyDescent="0.25">
      <c r="A16" s="55" t="s">
        <v>947</v>
      </c>
      <c r="B16" s="56" t="s">
        <v>948</v>
      </c>
      <c r="C16" s="29">
        <v>2</v>
      </c>
      <c r="D16" s="57"/>
      <c r="E16" s="6"/>
    </row>
    <row r="17" spans="1:5" x14ac:dyDescent="0.25">
      <c r="A17" s="54" t="s">
        <v>949</v>
      </c>
      <c r="B17" s="58" t="s">
        <v>950</v>
      </c>
      <c r="C17" s="33">
        <v>2</v>
      </c>
      <c r="D17" s="59"/>
      <c r="E17" s="13"/>
    </row>
    <row r="18" spans="1:5" x14ac:dyDescent="0.25">
      <c r="A18" s="55" t="s">
        <v>951</v>
      </c>
      <c r="B18" s="56" t="s">
        <v>128</v>
      </c>
      <c r="C18" s="29">
        <v>1</v>
      </c>
      <c r="D18" s="57"/>
      <c r="E18" s="6"/>
    </row>
    <row r="19" spans="1:5" x14ac:dyDescent="0.25">
      <c r="A19" s="54" t="s">
        <v>952</v>
      </c>
      <c r="B19" s="58" t="s">
        <v>132</v>
      </c>
      <c r="C19" s="33">
        <v>1</v>
      </c>
      <c r="D19" s="59"/>
      <c r="E19" s="13"/>
    </row>
    <row r="20" spans="1:5" x14ac:dyDescent="0.25">
      <c r="A20" s="55" t="s">
        <v>953</v>
      </c>
      <c r="B20" s="56" t="s">
        <v>136</v>
      </c>
      <c r="C20" s="29">
        <v>1</v>
      </c>
      <c r="D20" s="57"/>
      <c r="E20" s="6"/>
    </row>
    <row r="21" spans="1:5" x14ac:dyDescent="0.25">
      <c r="A21" s="54" t="s">
        <v>954</v>
      </c>
      <c r="B21" s="58" t="s">
        <v>136</v>
      </c>
      <c r="C21" s="33">
        <v>1</v>
      </c>
      <c r="D21" s="59"/>
      <c r="E21" s="13"/>
    </row>
    <row r="22" spans="1:5" x14ac:dyDescent="0.25">
      <c r="A22" s="55" t="s">
        <v>955</v>
      </c>
      <c r="B22" s="56" t="s">
        <v>136</v>
      </c>
      <c r="C22" s="29">
        <v>1</v>
      </c>
      <c r="D22" s="57"/>
      <c r="E22" s="6"/>
    </row>
    <row r="23" spans="1:5" x14ac:dyDescent="0.25">
      <c r="A23" s="54" t="s">
        <v>956</v>
      </c>
      <c r="B23" s="58" t="s">
        <v>957</v>
      </c>
      <c r="C23" s="33">
        <v>2</v>
      </c>
      <c r="D23" s="59"/>
      <c r="E23" s="13"/>
    </row>
    <row r="24" spans="1:5" x14ac:dyDescent="0.25">
      <c r="A24" s="55" t="s">
        <v>958</v>
      </c>
      <c r="B24" s="56" t="s">
        <v>140</v>
      </c>
      <c r="C24" s="29">
        <v>1</v>
      </c>
      <c r="D24" s="57"/>
      <c r="E24" s="6"/>
    </row>
    <row r="25" spans="1:5" x14ac:dyDescent="0.25">
      <c r="A25" s="54" t="s">
        <v>959</v>
      </c>
      <c r="B25" s="58" t="s">
        <v>143</v>
      </c>
      <c r="C25" s="33">
        <v>1</v>
      </c>
      <c r="D25" s="59"/>
      <c r="E25" s="13"/>
    </row>
    <row r="26" spans="1:5" x14ac:dyDescent="0.25">
      <c r="A26" s="55" t="s">
        <v>960</v>
      </c>
      <c r="B26" s="56" t="s">
        <v>165</v>
      </c>
      <c r="C26" s="29">
        <v>1</v>
      </c>
      <c r="D26" s="57"/>
      <c r="E26" s="6"/>
    </row>
    <row r="27" spans="1:5" x14ac:dyDescent="0.25">
      <c r="A27" s="54" t="s">
        <v>961</v>
      </c>
      <c r="B27" s="58" t="s">
        <v>165</v>
      </c>
      <c r="C27" s="33">
        <v>1</v>
      </c>
      <c r="D27" s="59"/>
      <c r="E27" s="13"/>
    </row>
    <row r="28" spans="1:5" x14ac:dyDescent="0.25">
      <c r="A28" s="55" t="s">
        <v>962</v>
      </c>
      <c r="B28" s="56" t="s">
        <v>169</v>
      </c>
      <c r="C28" s="29">
        <v>1</v>
      </c>
      <c r="D28" s="57"/>
      <c r="E28" s="6"/>
    </row>
    <row r="29" spans="1:5" x14ac:dyDescent="0.25">
      <c r="A29" s="54" t="s">
        <v>963</v>
      </c>
      <c r="B29" s="58" t="s">
        <v>172</v>
      </c>
      <c r="C29" s="33">
        <v>1</v>
      </c>
      <c r="D29" s="59"/>
      <c r="E29" s="13"/>
    </row>
    <row r="30" spans="1:5" x14ac:dyDescent="0.25">
      <c r="A30" s="55" t="s">
        <v>964</v>
      </c>
      <c r="B30" s="56" t="s">
        <v>176</v>
      </c>
      <c r="C30" s="29">
        <v>1</v>
      </c>
      <c r="D30" s="57"/>
      <c r="E30" s="6"/>
    </row>
    <row r="31" spans="1:5" x14ac:dyDescent="0.25">
      <c r="A31" s="54" t="s">
        <v>965</v>
      </c>
      <c r="B31" s="58" t="s">
        <v>178</v>
      </c>
      <c r="C31" s="33">
        <v>1</v>
      </c>
      <c r="D31" s="59"/>
      <c r="E31" s="13"/>
    </row>
    <row r="32" spans="1:5" x14ac:dyDescent="0.25">
      <c r="A32" s="55" t="s">
        <v>966</v>
      </c>
      <c r="B32" s="56" t="s">
        <v>183</v>
      </c>
      <c r="C32" s="29">
        <v>1</v>
      </c>
      <c r="D32" s="57"/>
      <c r="E32" s="6"/>
    </row>
    <row r="33" spans="1:5" x14ac:dyDescent="0.25">
      <c r="A33" s="54" t="s">
        <v>967</v>
      </c>
      <c r="B33" s="58" t="s">
        <v>158</v>
      </c>
      <c r="C33" s="33">
        <v>1</v>
      </c>
      <c r="D33" s="59"/>
      <c r="E33" s="13"/>
    </row>
    <row r="34" spans="1:5" x14ac:dyDescent="0.25">
      <c r="A34" s="55" t="s">
        <v>968</v>
      </c>
      <c r="B34" s="56" t="s">
        <v>151</v>
      </c>
      <c r="C34" s="29">
        <v>1</v>
      </c>
      <c r="D34" s="57"/>
      <c r="E34" s="6"/>
    </row>
    <row r="35" spans="1:5" x14ac:dyDescent="0.25">
      <c r="A35" s="54" t="s">
        <v>148</v>
      </c>
      <c r="B35" s="58" t="s">
        <v>147</v>
      </c>
      <c r="C35" s="33">
        <v>1</v>
      </c>
      <c r="D35" s="59"/>
      <c r="E35" s="13"/>
    </row>
    <row r="36" spans="1:5" x14ac:dyDescent="0.25">
      <c r="A36" s="55" t="s">
        <v>969</v>
      </c>
      <c r="B36" s="56" t="s">
        <v>970</v>
      </c>
      <c r="C36" s="29">
        <v>2</v>
      </c>
      <c r="D36" s="57"/>
      <c r="E36" s="6"/>
    </row>
    <row r="37" spans="1:5" x14ac:dyDescent="0.25">
      <c r="A37" s="54" t="s">
        <v>971</v>
      </c>
      <c r="B37" s="58" t="s">
        <v>972</v>
      </c>
      <c r="C37" s="33">
        <v>2</v>
      </c>
      <c r="D37" s="59"/>
      <c r="E37" s="13"/>
    </row>
    <row r="38" spans="1:5" x14ac:dyDescent="0.25">
      <c r="A38" s="55" t="s">
        <v>973</v>
      </c>
      <c r="B38" s="56" t="s">
        <v>974</v>
      </c>
      <c r="C38" s="29">
        <v>3</v>
      </c>
      <c r="D38" s="57"/>
      <c r="E38" s="6"/>
    </row>
    <row r="39" spans="1:5" x14ac:dyDescent="0.25">
      <c r="A39" s="54" t="s">
        <v>975</v>
      </c>
      <c r="B39" s="58" t="s">
        <v>187</v>
      </c>
      <c r="C39" s="33">
        <v>1</v>
      </c>
      <c r="D39" s="59"/>
      <c r="E39" s="13"/>
    </row>
  </sheetData>
  <mergeCells count="1">
    <mergeCell ref="A1:E1"/>
  </mergeCells>
  <conditionalFormatting sqref="E4:E39">
    <cfRule type="cellIs" dxfId="2" priority="1" operator="equal">
      <formula>"Covered"</formula>
    </cfRule>
    <cfRule type="cellIs" dxfId="1" priority="2" operator="equal">
      <formula>"Not Tested"</formula>
    </cfRule>
    <cfRule type="cellIs" dxfId="0" priority="3" operator="equal">
      <formula>"Partial"</formula>
    </cfRule>
  </conditionalFormatting>
  <dataValidations count="1">
    <dataValidation type="list" sqref="E4:E39" xr:uid="{00000000-0002-0000-2200-000000000000}">
      <formula1>"Covered,Partial,Not Tested,Needs Update"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Dashboard</vt:lpstr>
      <vt:lpstr>Run Log</vt:lpstr>
      <vt:lpstr>Summary</vt:lpstr>
      <vt:lpstr>S-01 New User Onboarding &amp; Appr</vt:lpstr>
      <vt:lpstr>S-02 Owner Role Upgrade &amp; Verif</vt:lpstr>
      <vt:lpstr>S-03 Property Listing Creation </vt:lpstr>
      <vt:lpstr>S-04 Direct Booking — Happy Pat</vt:lpstr>
      <vt:lpstr>S-05 Bidding &amp; Counter-Offer Wo</vt:lpstr>
      <vt:lpstr>S-06 Travel Request &amp; Owner Pro</vt:lpstr>
      <vt:lpstr>S-07 Pre-Booking Inquiry &amp; Mess</vt:lpstr>
      <vt:lpstr>S-08 Booking Messaging &amp; Realti</vt:lpstr>
      <vt:lpstr>S-09 Renter Cancellation Flow</vt:lpstr>
      <vt:lpstr>S-10 Owner Cancellation Flow</vt:lpstr>
      <vt:lpstr>S-11 Dispute Resolution — Check</vt:lpstr>
      <vt:lpstr>S-12 Owner Earnings &amp; Payout Cy</vt:lpstr>
      <vt:lpstr>S-13 Membership Upgrade — Owner</vt:lpstr>
      <vt:lpstr>S-14 Membership Upgrade — Rente</vt:lpstr>
      <vt:lpstr>S-15 Referral Program End-to-En</vt:lpstr>
      <vt:lpstr>S-16 Search, Filter &amp; Discovery</vt:lpstr>
      <vt:lpstr>S-17 Notification Delivery &amp; Pr</vt:lpstr>
      <vt:lpstr>S-18 Admin — Full Operations Cy</vt:lpstr>
      <vt:lpstr>S-19 Stripe Payment Edge Cases</vt:lpstr>
      <vt:lpstr>S-20 Public Pages &amp; Unauthentic</vt:lpstr>
      <vt:lpstr>S-21 Owner Multi-Listing Manage</vt:lpstr>
      <vt:lpstr>S-22 RAV Smart Tools Suite</vt:lpstr>
      <vt:lpstr>S-23 Date Proposal &amp; Flexible B</vt:lpstr>
      <vt:lpstr>S-24 Admin Property &amp; Listing E</vt:lpstr>
      <vt:lpstr>S-25 Executive Dashboard &amp; Anal</vt:lpstr>
      <vt:lpstr>S-26 Voice Search &amp; Quota Manag</vt:lpstr>
      <vt:lpstr>S-27 API Key &amp; Developer Portal</vt:lpstr>
      <vt:lpstr>S-28 iCal Export &amp; Calendar Int</vt:lpstr>
      <vt:lpstr>S-29 GDPR Data Export &amp; Deletio</vt:lpstr>
      <vt:lpstr>S-30 Complete Marketplace Cycle</vt:lpstr>
      <vt:lpstr>Reference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 Gangadharan</cp:lastModifiedBy>
  <dcterms:created xsi:type="dcterms:W3CDTF">2026-04-06T20:25:49Z</dcterms:created>
  <dcterms:modified xsi:type="dcterms:W3CDTF">2026-04-06T20:54:24Z</dcterms:modified>
</cp:coreProperties>
</file>